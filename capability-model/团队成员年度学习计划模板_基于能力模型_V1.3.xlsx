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inhui\Downloads\"/>
    </mc:Choice>
  </mc:AlternateContent>
  <xr:revisionPtr revIDLastSave="0" documentId="13_ncr:1_{5D53DFFE-7AB5-4153-9075-ABDC4F576820}" xr6:coauthVersionLast="47" xr6:coauthVersionMax="47" xr10:uidLastSave="{00000000-0000-0000-0000-000000000000}"/>
  <bookViews>
    <workbookView xWindow="-98" yWindow="-98" windowWidth="21795" windowHeight="13875" tabRatio="791" xr2:uid="{00000000-000D-0000-FFFF-FFFF00000000}"/>
  </bookViews>
  <sheets>
    <sheet name="00_使用说明" sheetId="1" r:id="rId1"/>
    <sheet name="01_学习计划看板" sheetId="2" r:id="rId2"/>
    <sheet name="02_能力差距自评" sheetId="3" r:id="rId3"/>
    <sheet name="03_年度学习计划" sheetId="4" r:id="rId4"/>
    <sheet name="04_学习执行跟踪" sheetId="5" r:id="rId5"/>
    <sheet name="05_月度复盘" sheetId="6" r:id="rId6"/>
    <sheet name="06_学习材料索引" sheetId="7" r:id="rId7"/>
    <sheet name="07_填表字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11" i="3" l="1"/>
  <c r="V311" i="3"/>
  <c r="N311" i="3"/>
  <c r="W310" i="3"/>
  <c r="N310" i="3"/>
  <c r="V310" i="3" s="1"/>
  <c r="W309" i="3"/>
  <c r="V309" i="3"/>
  <c r="N309" i="3"/>
  <c r="W308" i="3"/>
  <c r="N308" i="3"/>
  <c r="V308" i="3" s="1"/>
  <c r="W307" i="3"/>
  <c r="N307" i="3"/>
  <c r="V307" i="3" s="1"/>
  <c r="W306" i="3"/>
  <c r="N306" i="3"/>
  <c r="V306" i="3" s="1"/>
  <c r="W305" i="3"/>
  <c r="V305" i="3"/>
  <c r="N305" i="3"/>
  <c r="W304" i="3"/>
  <c r="N304" i="3"/>
  <c r="V304" i="3" s="1"/>
  <c r="W303" i="3"/>
  <c r="N303" i="3"/>
  <c r="V303" i="3" s="1"/>
  <c r="W302" i="3"/>
  <c r="N302" i="3"/>
  <c r="V302" i="3" s="1"/>
  <c r="W301" i="3"/>
  <c r="N301" i="3"/>
  <c r="V301" i="3" s="1"/>
  <c r="W300" i="3"/>
  <c r="N300" i="3"/>
  <c r="V300" i="3" s="1"/>
  <c r="W299" i="3"/>
  <c r="V299" i="3"/>
  <c r="N299" i="3"/>
  <c r="W298" i="3"/>
  <c r="N298" i="3"/>
  <c r="V298" i="3" s="1"/>
  <c r="W297" i="3"/>
  <c r="N297" i="3"/>
  <c r="V297" i="3" s="1"/>
  <c r="W296" i="3"/>
  <c r="V296" i="3"/>
  <c r="N296" i="3"/>
  <c r="W295" i="3"/>
  <c r="N295" i="3"/>
  <c r="V295" i="3" s="1"/>
  <c r="W294" i="3"/>
  <c r="V294" i="3"/>
  <c r="N294" i="3"/>
  <c r="W293" i="3"/>
  <c r="V293" i="3"/>
  <c r="N293" i="3"/>
  <c r="W292" i="3"/>
  <c r="N292" i="3"/>
  <c r="V292" i="3" s="1"/>
  <c r="W291" i="3"/>
  <c r="N291" i="3"/>
  <c r="V291" i="3" s="1"/>
  <c r="W290" i="3"/>
  <c r="N290" i="3"/>
  <c r="V290" i="3" s="1"/>
  <c r="W289" i="3"/>
  <c r="N289" i="3"/>
  <c r="V289" i="3" s="1"/>
  <c r="W288" i="3"/>
  <c r="N288" i="3"/>
  <c r="V288" i="3" s="1"/>
  <c r="W287" i="3"/>
  <c r="V287" i="3"/>
  <c r="N287" i="3"/>
  <c r="W286" i="3"/>
  <c r="N286" i="3"/>
  <c r="V286" i="3" s="1"/>
  <c r="W285" i="3"/>
  <c r="N285" i="3"/>
  <c r="V285" i="3" s="1"/>
  <c r="W284" i="3"/>
  <c r="N284" i="3"/>
  <c r="V284" i="3" s="1"/>
  <c r="W283" i="3"/>
  <c r="V283" i="3"/>
  <c r="N283" i="3"/>
  <c r="W282" i="3"/>
  <c r="N282" i="3"/>
  <c r="V282" i="3" s="1"/>
  <c r="W281" i="3"/>
  <c r="V281" i="3"/>
  <c r="N281" i="3"/>
  <c r="W280" i="3"/>
  <c r="N280" i="3"/>
  <c r="V280" i="3" s="1"/>
  <c r="W279" i="3"/>
  <c r="N279" i="3"/>
  <c r="V279" i="3" s="1"/>
  <c r="W278" i="3"/>
  <c r="N278" i="3"/>
  <c r="V278" i="3" s="1"/>
  <c r="W277" i="3"/>
  <c r="V277" i="3"/>
  <c r="N277" i="3"/>
  <c r="W276" i="3"/>
  <c r="N276" i="3"/>
  <c r="V276" i="3" s="1"/>
  <c r="W275" i="3"/>
  <c r="V275" i="3"/>
  <c r="N275" i="3"/>
  <c r="W274" i="3"/>
  <c r="N274" i="3"/>
  <c r="V274" i="3" s="1"/>
  <c r="W273" i="3"/>
  <c r="N273" i="3"/>
  <c r="V273" i="3" s="1"/>
  <c r="W272" i="3"/>
  <c r="N272" i="3"/>
  <c r="V272" i="3" s="1"/>
  <c r="W271" i="3"/>
  <c r="N271" i="3"/>
  <c r="V271" i="3" s="1"/>
  <c r="W270" i="3"/>
  <c r="N270" i="3"/>
  <c r="V270" i="3" s="1"/>
  <c r="W269" i="3"/>
  <c r="V269" i="3"/>
  <c r="N269" i="3"/>
  <c r="W268" i="3"/>
  <c r="N268" i="3"/>
  <c r="V268" i="3" s="1"/>
  <c r="W267" i="3"/>
  <c r="N267" i="3"/>
  <c r="V267" i="3" s="1"/>
  <c r="W266" i="3"/>
  <c r="N266" i="3"/>
  <c r="V266" i="3" s="1"/>
  <c r="W265" i="3"/>
  <c r="N265" i="3"/>
  <c r="V265" i="3" s="1"/>
  <c r="W264" i="3"/>
  <c r="V264" i="3"/>
  <c r="N264" i="3"/>
  <c r="W263" i="3"/>
  <c r="V263" i="3"/>
  <c r="N263" i="3"/>
  <c r="W262" i="3"/>
  <c r="N262" i="3"/>
  <c r="V262" i="3" s="1"/>
  <c r="W261" i="3"/>
  <c r="N261" i="3"/>
  <c r="V261" i="3" s="1"/>
  <c r="W260" i="3"/>
  <c r="N260" i="3"/>
  <c r="V260" i="3" s="1"/>
  <c r="W259" i="3"/>
  <c r="V259" i="3"/>
  <c r="N259" i="3"/>
  <c r="W258" i="3"/>
  <c r="V258" i="3"/>
  <c r="N258" i="3"/>
  <c r="W257" i="3"/>
  <c r="V257" i="3"/>
  <c r="N257" i="3"/>
  <c r="W256" i="3"/>
  <c r="N256" i="3"/>
  <c r="V256" i="3" s="1"/>
  <c r="W255" i="3"/>
  <c r="N255" i="3"/>
  <c r="V255" i="3" s="1"/>
  <c r="W254" i="3"/>
  <c r="N254" i="3"/>
  <c r="V254" i="3" s="1"/>
  <c r="W253" i="3"/>
  <c r="N253" i="3"/>
  <c r="V253" i="3" s="1"/>
  <c r="W252" i="3"/>
  <c r="V252" i="3"/>
  <c r="N252" i="3"/>
  <c r="W251" i="3"/>
  <c r="V251" i="3"/>
  <c r="N251" i="3"/>
  <c r="W250" i="3"/>
  <c r="N250" i="3"/>
  <c r="V250" i="3" s="1"/>
  <c r="W249" i="3"/>
  <c r="N249" i="3"/>
  <c r="V249" i="3" s="1"/>
  <c r="W248" i="3"/>
  <c r="N248" i="3"/>
  <c r="V248" i="3" s="1"/>
  <c r="W247" i="3"/>
  <c r="N247" i="3"/>
  <c r="V247" i="3" s="1"/>
  <c r="W246" i="3"/>
  <c r="N246" i="3"/>
  <c r="V246" i="3" s="1"/>
  <c r="W245" i="3"/>
  <c r="V245" i="3"/>
  <c r="N245" i="3"/>
  <c r="W244" i="3"/>
  <c r="N244" i="3"/>
  <c r="V244" i="3" s="1"/>
  <c r="W243" i="3"/>
  <c r="V243" i="3"/>
  <c r="N243" i="3"/>
  <c r="W242" i="3"/>
  <c r="N242" i="3"/>
  <c r="V242" i="3" s="1"/>
  <c r="W241" i="3"/>
  <c r="N241" i="3"/>
  <c r="V241" i="3" s="1"/>
  <c r="W240" i="3"/>
  <c r="N240" i="3"/>
  <c r="V240" i="3" s="1"/>
  <c r="W239" i="3"/>
  <c r="V239" i="3"/>
  <c r="N239" i="3"/>
  <c r="W238" i="3"/>
  <c r="N238" i="3"/>
  <c r="V238" i="3" s="1"/>
  <c r="W237" i="3"/>
  <c r="N237" i="3"/>
  <c r="V237" i="3" s="1"/>
  <c r="W236" i="3"/>
  <c r="N236" i="3"/>
  <c r="V236" i="3" s="1"/>
  <c r="W235" i="3"/>
  <c r="N235" i="3"/>
  <c r="V235" i="3" s="1"/>
  <c r="W234" i="3"/>
  <c r="N234" i="3"/>
  <c r="V234" i="3" s="1"/>
  <c r="W233" i="3"/>
  <c r="V233" i="3"/>
  <c r="N233" i="3"/>
  <c r="W232" i="3"/>
  <c r="N232" i="3"/>
  <c r="V232" i="3" s="1"/>
  <c r="W231" i="3"/>
  <c r="V231" i="3"/>
  <c r="N231" i="3"/>
  <c r="W230" i="3"/>
  <c r="N230" i="3"/>
  <c r="V230" i="3" s="1"/>
  <c r="W229" i="3"/>
  <c r="N229" i="3"/>
  <c r="V229" i="3" s="1"/>
  <c r="W228" i="3"/>
  <c r="N228" i="3"/>
  <c r="V228" i="3" s="1"/>
  <c r="W227" i="3"/>
  <c r="V227" i="3"/>
  <c r="N227" i="3"/>
  <c r="W226" i="3"/>
  <c r="N226" i="3"/>
  <c r="V226" i="3" s="1"/>
  <c r="W225" i="3"/>
  <c r="N225" i="3"/>
  <c r="V225" i="3" s="1"/>
  <c r="W224" i="3"/>
  <c r="V224" i="3"/>
  <c r="N224" i="3"/>
  <c r="W223" i="3"/>
  <c r="N223" i="3"/>
  <c r="V223" i="3" s="1"/>
  <c r="W222" i="3"/>
  <c r="N222" i="3"/>
  <c r="V222" i="3" s="1"/>
  <c r="W221" i="3"/>
  <c r="V221" i="3"/>
  <c r="N221" i="3"/>
  <c r="W220" i="3"/>
  <c r="N220" i="3"/>
  <c r="V220" i="3" s="1"/>
  <c r="W219" i="3"/>
  <c r="N219" i="3"/>
  <c r="V219" i="3" s="1"/>
  <c r="W218" i="3"/>
  <c r="V218" i="3"/>
  <c r="N218" i="3"/>
  <c r="W217" i="3"/>
  <c r="N217" i="3"/>
  <c r="V217" i="3" s="1"/>
  <c r="W216" i="3"/>
  <c r="N216" i="3"/>
  <c r="V216" i="3" s="1"/>
  <c r="W215" i="3"/>
  <c r="V215" i="3"/>
  <c r="N215" i="3"/>
  <c r="W214" i="3"/>
  <c r="N214" i="3"/>
  <c r="V214" i="3" s="1"/>
  <c r="W213" i="3"/>
  <c r="N213" i="3"/>
  <c r="V213" i="3" s="1"/>
  <c r="W212" i="3"/>
  <c r="N212" i="3"/>
  <c r="V212" i="3" s="1"/>
  <c r="W211" i="3"/>
  <c r="N211" i="3"/>
  <c r="V211" i="3" s="1"/>
  <c r="W210" i="3"/>
  <c r="V210" i="3"/>
  <c r="N210" i="3"/>
  <c r="W209" i="3"/>
  <c r="V209" i="3"/>
  <c r="N209" i="3"/>
  <c r="W208" i="3"/>
  <c r="N208" i="3"/>
  <c r="V208" i="3" s="1"/>
  <c r="W207" i="3"/>
  <c r="N207" i="3"/>
  <c r="V207" i="3" s="1"/>
  <c r="W206" i="3"/>
  <c r="N206" i="3"/>
  <c r="V206" i="3" s="1"/>
  <c r="W205" i="3"/>
  <c r="V205" i="3"/>
  <c r="N205" i="3"/>
  <c r="W204" i="3"/>
  <c r="N204" i="3"/>
  <c r="V204" i="3" s="1"/>
  <c r="W203" i="3"/>
  <c r="V203" i="3"/>
  <c r="N203" i="3"/>
  <c r="W202" i="3"/>
  <c r="N202" i="3"/>
  <c r="V202" i="3" s="1"/>
  <c r="W201" i="3"/>
  <c r="N201" i="3"/>
  <c r="V201" i="3" s="1"/>
  <c r="W200" i="3"/>
  <c r="N200" i="3"/>
  <c r="V200" i="3" s="1"/>
  <c r="W199" i="3"/>
  <c r="N199" i="3"/>
  <c r="V199" i="3" s="1"/>
  <c r="W198" i="3"/>
  <c r="N198" i="3"/>
  <c r="V198" i="3" s="1"/>
  <c r="W197" i="3"/>
  <c r="V197" i="3"/>
  <c r="N197" i="3"/>
  <c r="W196" i="3"/>
  <c r="N196" i="3"/>
  <c r="V196" i="3" s="1"/>
  <c r="W195" i="3"/>
  <c r="N195" i="3"/>
  <c r="V195" i="3" s="1"/>
  <c r="W194" i="3"/>
  <c r="N194" i="3"/>
  <c r="V194" i="3" s="1"/>
  <c r="W193" i="3"/>
  <c r="N193" i="3"/>
  <c r="V193" i="3" s="1"/>
  <c r="W192" i="3"/>
  <c r="N192" i="3"/>
  <c r="V192" i="3" s="1"/>
  <c r="W191" i="3"/>
  <c r="V191" i="3"/>
  <c r="N191" i="3"/>
  <c r="W190" i="3"/>
  <c r="N190" i="3"/>
  <c r="V190" i="3" s="1"/>
  <c r="W189" i="3"/>
  <c r="N189" i="3"/>
  <c r="V189" i="3" s="1"/>
  <c r="W188" i="3"/>
  <c r="N188" i="3"/>
  <c r="V188" i="3" s="1"/>
  <c r="W187" i="3"/>
  <c r="N187" i="3"/>
  <c r="V187" i="3" s="1"/>
  <c r="W186" i="3"/>
  <c r="V186" i="3"/>
  <c r="N186" i="3"/>
  <c r="W185" i="3"/>
  <c r="V185" i="3"/>
  <c r="N185" i="3"/>
  <c r="W184" i="3"/>
  <c r="N184" i="3"/>
  <c r="V184" i="3" s="1"/>
  <c r="W183" i="3"/>
  <c r="N183" i="3"/>
  <c r="V183" i="3" s="1"/>
  <c r="W182" i="3"/>
  <c r="N182" i="3"/>
  <c r="V182" i="3" s="1"/>
  <c r="W181" i="3"/>
  <c r="N181" i="3"/>
  <c r="V181" i="3" s="1"/>
  <c r="W180" i="3"/>
  <c r="N180" i="3"/>
  <c r="V180" i="3" s="1"/>
  <c r="W179" i="3"/>
  <c r="V179" i="3"/>
  <c r="N179" i="3"/>
  <c r="W178" i="3"/>
  <c r="N178" i="3"/>
  <c r="V178" i="3" s="1"/>
  <c r="W177" i="3"/>
  <c r="V177" i="3"/>
  <c r="N177" i="3"/>
  <c r="W176" i="3"/>
  <c r="N176" i="3"/>
  <c r="V176" i="3" s="1"/>
  <c r="W175" i="3"/>
  <c r="N175" i="3"/>
  <c r="V175" i="3" s="1"/>
  <c r="W174" i="3"/>
  <c r="N174" i="3"/>
  <c r="V174" i="3" s="1"/>
  <c r="W173" i="3"/>
  <c r="V173" i="3"/>
  <c r="N173" i="3"/>
  <c r="W172" i="3"/>
  <c r="N172" i="3"/>
  <c r="V172" i="3" s="1"/>
  <c r="W171" i="3"/>
  <c r="N171" i="3"/>
  <c r="V171" i="3" s="1"/>
  <c r="W170" i="3"/>
  <c r="N170" i="3"/>
  <c r="V170" i="3" s="1"/>
  <c r="W169" i="3"/>
  <c r="N169" i="3"/>
  <c r="V169" i="3" s="1"/>
  <c r="W168" i="3"/>
  <c r="N168" i="3"/>
  <c r="V168" i="3" s="1"/>
  <c r="W167" i="3"/>
  <c r="V167" i="3"/>
  <c r="N167" i="3"/>
  <c r="W166" i="3"/>
  <c r="N166" i="3"/>
  <c r="V166" i="3" s="1"/>
  <c r="W165" i="3"/>
  <c r="N165" i="3"/>
  <c r="V165" i="3" s="1"/>
  <c r="W164" i="3"/>
  <c r="V164" i="3"/>
  <c r="N164" i="3"/>
  <c r="W163" i="3"/>
  <c r="N163" i="3"/>
  <c r="V163" i="3" s="1"/>
  <c r="W162" i="3"/>
  <c r="N162" i="3"/>
  <c r="V162" i="3" s="1"/>
  <c r="W161" i="3"/>
  <c r="V161" i="3"/>
  <c r="N161" i="3"/>
  <c r="W160" i="3"/>
  <c r="N160" i="3"/>
  <c r="V160" i="3" s="1"/>
  <c r="W159" i="3"/>
  <c r="N159" i="3"/>
  <c r="V159" i="3" s="1"/>
  <c r="W158" i="3"/>
  <c r="N158" i="3"/>
  <c r="V158" i="3" s="1"/>
  <c r="W157" i="3"/>
  <c r="N157" i="3"/>
  <c r="V157" i="3" s="1"/>
  <c r="W156" i="3"/>
  <c r="N156" i="3"/>
  <c r="V156" i="3" s="1"/>
  <c r="W155" i="3"/>
  <c r="V155" i="3"/>
  <c r="N155" i="3"/>
  <c r="W154" i="3"/>
  <c r="N154" i="3"/>
  <c r="V154" i="3" s="1"/>
  <c r="W153" i="3"/>
  <c r="V153" i="3"/>
  <c r="N153" i="3"/>
  <c r="W152" i="3"/>
  <c r="V152" i="3"/>
  <c r="N152" i="3"/>
  <c r="W151" i="3"/>
  <c r="V151" i="3"/>
  <c r="N151" i="3"/>
  <c r="W150" i="3"/>
  <c r="N150" i="3"/>
  <c r="V150" i="3" s="1"/>
  <c r="W149" i="3"/>
  <c r="V149" i="3"/>
  <c r="N149" i="3"/>
  <c r="W148" i="3"/>
  <c r="N148" i="3"/>
  <c r="V148" i="3" s="1"/>
  <c r="W147" i="3"/>
  <c r="N147" i="3"/>
  <c r="V147" i="3" s="1"/>
  <c r="W146" i="3"/>
  <c r="N146" i="3"/>
  <c r="V146" i="3" s="1"/>
  <c r="W145" i="3"/>
  <c r="N145" i="3"/>
  <c r="V145" i="3" s="1"/>
  <c r="W144" i="3"/>
  <c r="V144" i="3"/>
  <c r="N144" i="3"/>
  <c r="W143" i="3"/>
  <c r="V143" i="3"/>
  <c r="N143" i="3"/>
  <c r="W142" i="3"/>
  <c r="N142" i="3"/>
  <c r="V142" i="3" s="1"/>
  <c r="W141" i="3"/>
  <c r="N141" i="3"/>
  <c r="V141" i="3" s="1"/>
  <c r="W140" i="3"/>
  <c r="V140" i="3"/>
  <c r="N140" i="3"/>
  <c r="W139" i="3"/>
  <c r="N139" i="3"/>
  <c r="V139" i="3" s="1"/>
  <c r="W138" i="3"/>
  <c r="N138" i="3"/>
  <c r="V138" i="3" s="1"/>
  <c r="W137" i="3"/>
  <c r="V137" i="3"/>
  <c r="N137" i="3"/>
  <c r="W136" i="3"/>
  <c r="N136" i="3"/>
  <c r="V136" i="3" s="1"/>
  <c r="W135" i="3"/>
  <c r="V135" i="3"/>
  <c r="N135" i="3"/>
  <c r="W134" i="3"/>
  <c r="N134" i="3"/>
  <c r="V134" i="3" s="1"/>
  <c r="W133" i="3"/>
  <c r="N133" i="3"/>
  <c r="V133" i="3" s="1"/>
  <c r="W132" i="3"/>
  <c r="N132" i="3"/>
  <c r="V132" i="3" s="1"/>
  <c r="W131" i="3"/>
  <c r="V131" i="3"/>
  <c r="N131" i="3"/>
  <c r="W130" i="3"/>
  <c r="N130" i="3"/>
  <c r="V130" i="3" s="1"/>
  <c r="W129" i="3"/>
  <c r="N129" i="3"/>
  <c r="V129" i="3" s="1"/>
  <c r="W128" i="3"/>
  <c r="N128" i="3"/>
  <c r="V128" i="3" s="1"/>
  <c r="W127" i="3"/>
  <c r="V127" i="3"/>
  <c r="N127" i="3"/>
  <c r="W126" i="3"/>
  <c r="N126" i="3"/>
  <c r="V126" i="3" s="1"/>
  <c r="W125" i="3"/>
  <c r="V125" i="3"/>
  <c r="N125" i="3"/>
  <c r="W124" i="3"/>
  <c r="N124" i="3"/>
  <c r="V124" i="3" s="1"/>
  <c r="W123" i="3"/>
  <c r="V123" i="3"/>
  <c r="N123" i="3"/>
  <c r="W122" i="3"/>
  <c r="N122" i="3"/>
  <c r="V122" i="3" s="1"/>
  <c r="W121" i="3"/>
  <c r="N121" i="3"/>
  <c r="V121" i="3" s="1"/>
  <c r="W120" i="3"/>
  <c r="V120" i="3"/>
  <c r="N120" i="3"/>
  <c r="W119" i="3"/>
  <c r="V119" i="3"/>
  <c r="N119" i="3"/>
  <c r="W118" i="3"/>
  <c r="N118" i="3"/>
  <c r="V118" i="3" s="1"/>
  <c r="W117" i="3"/>
  <c r="N117" i="3"/>
  <c r="V117" i="3" s="1"/>
  <c r="W116" i="3"/>
  <c r="N116" i="3"/>
  <c r="V116" i="3" s="1"/>
  <c r="W115" i="3"/>
  <c r="N115" i="3"/>
  <c r="V115" i="3" s="1"/>
  <c r="W114" i="3"/>
  <c r="V114" i="3"/>
  <c r="N114" i="3"/>
  <c r="W113" i="3"/>
  <c r="V113" i="3"/>
  <c r="N113" i="3"/>
  <c r="W112" i="3"/>
  <c r="N112" i="3"/>
  <c r="V112" i="3" s="1"/>
  <c r="W111" i="3"/>
  <c r="N111" i="3"/>
  <c r="V111" i="3" s="1"/>
  <c r="W110" i="3"/>
  <c r="N110" i="3"/>
  <c r="V110" i="3" s="1"/>
  <c r="W109" i="3"/>
  <c r="N109" i="3"/>
  <c r="V109" i="3" s="1"/>
  <c r="W108" i="3"/>
  <c r="N108" i="3"/>
  <c r="V108" i="3" s="1"/>
  <c r="W107" i="3"/>
  <c r="V107" i="3"/>
  <c r="N107" i="3"/>
  <c r="W106" i="3"/>
  <c r="N106" i="3"/>
  <c r="V106" i="3" s="1"/>
  <c r="W105" i="3"/>
  <c r="N105" i="3"/>
  <c r="V105" i="3" s="1"/>
  <c r="W104" i="3"/>
  <c r="N104" i="3"/>
  <c r="V104" i="3" s="1"/>
  <c r="W103" i="3"/>
  <c r="N103" i="3"/>
  <c r="V103" i="3" s="1"/>
  <c r="W102" i="3"/>
  <c r="N102" i="3"/>
  <c r="V102" i="3" s="1"/>
  <c r="W101" i="3"/>
  <c r="V101" i="3"/>
  <c r="N101" i="3"/>
  <c r="W100" i="3"/>
  <c r="N100" i="3"/>
  <c r="V100" i="3" s="1"/>
  <c r="W99" i="3"/>
  <c r="N99" i="3"/>
  <c r="V99" i="3" s="1"/>
  <c r="W98" i="3"/>
  <c r="N98" i="3"/>
  <c r="V98" i="3" s="1"/>
  <c r="W97" i="3"/>
  <c r="N97" i="3"/>
  <c r="V97" i="3" s="1"/>
  <c r="W96" i="3"/>
  <c r="N96" i="3"/>
  <c r="V96" i="3" s="1"/>
  <c r="W95" i="3"/>
  <c r="V95" i="3"/>
  <c r="N95" i="3"/>
  <c r="W94" i="3"/>
  <c r="N94" i="3"/>
  <c r="V94" i="3" s="1"/>
  <c r="W93" i="3"/>
  <c r="N93" i="3"/>
  <c r="V93" i="3" s="1"/>
  <c r="W92" i="3"/>
  <c r="N92" i="3"/>
  <c r="V92" i="3" s="1"/>
  <c r="W91" i="3"/>
  <c r="N91" i="3"/>
  <c r="V91" i="3" s="1"/>
  <c r="W90" i="3"/>
  <c r="N90" i="3"/>
  <c r="V90" i="3" s="1"/>
  <c r="W89" i="3"/>
  <c r="V89" i="3"/>
  <c r="N89" i="3"/>
  <c r="W88" i="3"/>
  <c r="N88" i="3"/>
  <c r="V88" i="3" s="1"/>
  <c r="W87" i="3"/>
  <c r="N87" i="3"/>
  <c r="V87" i="3" s="1"/>
  <c r="W86" i="3"/>
  <c r="N86" i="3"/>
  <c r="V86" i="3" s="1"/>
  <c r="W85" i="3"/>
  <c r="N85" i="3"/>
  <c r="V85" i="3" s="1"/>
  <c r="W84" i="3"/>
  <c r="V84" i="3"/>
  <c r="N84" i="3"/>
  <c r="W83" i="3"/>
  <c r="V83" i="3"/>
  <c r="N83" i="3"/>
  <c r="W82" i="3"/>
  <c r="V82" i="3"/>
  <c r="N82" i="3"/>
  <c r="W81" i="3"/>
  <c r="N81" i="3"/>
  <c r="V81" i="3" s="1"/>
  <c r="W80" i="3"/>
  <c r="N80" i="3"/>
  <c r="V80" i="3" s="1"/>
  <c r="W79" i="3"/>
  <c r="V79" i="3"/>
  <c r="N79" i="3"/>
  <c r="W78" i="3"/>
  <c r="N78" i="3"/>
  <c r="V78" i="3" s="1"/>
  <c r="W77" i="3"/>
  <c r="V77" i="3"/>
  <c r="N77" i="3"/>
  <c r="W76" i="3"/>
  <c r="V76" i="3"/>
  <c r="N76" i="3"/>
  <c r="W75" i="3"/>
  <c r="N75" i="3"/>
  <c r="V75" i="3" s="1"/>
  <c r="W74" i="3"/>
  <c r="N74" i="3"/>
  <c r="V74" i="3" s="1"/>
  <c r="W73" i="3"/>
  <c r="V73" i="3"/>
  <c r="N73" i="3"/>
  <c r="W72" i="3"/>
  <c r="N72" i="3"/>
  <c r="V72" i="3" s="1"/>
  <c r="W71" i="3"/>
  <c r="V71" i="3"/>
  <c r="N71" i="3"/>
  <c r="W70" i="3"/>
  <c r="N70" i="3"/>
  <c r="V70" i="3" s="1"/>
  <c r="W69" i="3"/>
  <c r="N69" i="3"/>
  <c r="V69" i="3" s="1"/>
  <c r="W68" i="3"/>
  <c r="N68" i="3"/>
  <c r="V68" i="3" s="1"/>
  <c r="W67" i="3"/>
  <c r="N67" i="3"/>
  <c r="V67" i="3" s="1"/>
  <c r="W66" i="3"/>
  <c r="N66" i="3"/>
  <c r="V66" i="3" s="1"/>
  <c r="W65" i="3"/>
  <c r="V65" i="3"/>
  <c r="N65" i="3"/>
  <c r="W64" i="3"/>
  <c r="N64" i="3"/>
  <c r="V64" i="3" s="1"/>
  <c r="W63" i="3"/>
  <c r="V63" i="3"/>
  <c r="N63" i="3"/>
  <c r="W62" i="3"/>
  <c r="N62" i="3"/>
  <c r="V62" i="3" s="1"/>
  <c r="W61" i="3"/>
  <c r="N61" i="3"/>
  <c r="V61" i="3" s="1"/>
  <c r="W60" i="3"/>
  <c r="N60" i="3"/>
  <c r="V60" i="3" s="1"/>
  <c r="W59" i="3"/>
  <c r="V59" i="3"/>
  <c r="N59" i="3"/>
  <c r="W58" i="3"/>
  <c r="V58" i="3"/>
  <c r="N58" i="3"/>
  <c r="W57" i="3"/>
  <c r="V57" i="3"/>
  <c r="N57" i="3"/>
  <c r="W56" i="3"/>
  <c r="N56" i="3"/>
  <c r="V56" i="3" s="1"/>
  <c r="W55" i="3"/>
  <c r="N55" i="3"/>
  <c r="V55" i="3" s="1"/>
  <c r="W54" i="3"/>
  <c r="N54" i="3"/>
  <c r="V54" i="3" s="1"/>
  <c r="W53" i="3"/>
  <c r="V53" i="3"/>
  <c r="N53" i="3"/>
  <c r="W52" i="3"/>
  <c r="N52" i="3"/>
  <c r="V52" i="3" s="1"/>
  <c r="W51" i="3"/>
  <c r="N51" i="3"/>
  <c r="V51" i="3" s="1"/>
  <c r="W50" i="3"/>
  <c r="N50" i="3"/>
  <c r="V50" i="3" s="1"/>
  <c r="W49" i="3"/>
  <c r="N49" i="3"/>
  <c r="V49" i="3" s="1"/>
  <c r="W48" i="3"/>
  <c r="N48" i="3"/>
  <c r="V48" i="3" s="1"/>
  <c r="W47" i="3"/>
  <c r="V47" i="3"/>
  <c r="N47" i="3"/>
  <c r="W46" i="3"/>
  <c r="N46" i="3"/>
  <c r="V46" i="3" s="1"/>
  <c r="W45" i="3"/>
  <c r="N45" i="3"/>
  <c r="V45" i="3" s="1"/>
  <c r="W44" i="3"/>
  <c r="N44" i="3"/>
  <c r="V44" i="3" s="1"/>
  <c r="W43" i="3"/>
  <c r="N43" i="3"/>
  <c r="V43" i="3" s="1"/>
  <c r="W42" i="3"/>
  <c r="N42" i="3"/>
  <c r="V42" i="3" s="1"/>
  <c r="W41" i="3"/>
  <c r="V41" i="3"/>
  <c r="N41" i="3"/>
  <c r="W40" i="3"/>
  <c r="N40" i="3"/>
  <c r="V40" i="3" s="1"/>
  <c r="W39" i="3"/>
  <c r="N39" i="3"/>
  <c r="V39" i="3" s="1"/>
  <c r="W38" i="3"/>
  <c r="N38" i="3"/>
  <c r="V38" i="3" s="1"/>
  <c r="W37" i="3"/>
  <c r="N37" i="3"/>
  <c r="V37" i="3" s="1"/>
  <c r="W36" i="3"/>
  <c r="N36" i="3"/>
  <c r="V36" i="3" s="1"/>
  <c r="W35" i="3"/>
  <c r="V35" i="3"/>
  <c r="N35" i="3"/>
  <c r="W34" i="3"/>
  <c r="N34" i="3"/>
  <c r="V34" i="3" s="1"/>
  <c r="W33" i="3"/>
  <c r="N33" i="3"/>
  <c r="V33" i="3" s="1"/>
  <c r="W32" i="3"/>
  <c r="N32" i="3"/>
  <c r="V32" i="3" s="1"/>
  <c r="W31" i="3"/>
  <c r="V31" i="3"/>
  <c r="N31" i="3"/>
  <c r="W30" i="3"/>
  <c r="N30" i="3"/>
  <c r="V30" i="3" s="1"/>
  <c r="W29" i="3"/>
  <c r="V29" i="3"/>
  <c r="N29" i="3"/>
  <c r="W28" i="3"/>
  <c r="N28" i="3"/>
  <c r="V28" i="3" s="1"/>
  <c r="W27" i="3"/>
  <c r="N27" i="3"/>
  <c r="V27" i="3" s="1"/>
  <c r="W26" i="3"/>
  <c r="N26" i="3"/>
  <c r="V26" i="3" s="1"/>
  <c r="W25" i="3"/>
  <c r="V25" i="3"/>
  <c r="N25" i="3"/>
  <c r="W24" i="3"/>
  <c r="N24" i="3"/>
  <c r="V24" i="3" s="1"/>
  <c r="W23" i="3"/>
  <c r="V23" i="3"/>
  <c r="N23" i="3"/>
  <c r="W22" i="3"/>
  <c r="N22" i="3"/>
  <c r="V22" i="3" s="1"/>
  <c r="W21" i="3"/>
  <c r="N21" i="3"/>
  <c r="V21" i="3" s="1"/>
  <c r="W20" i="3"/>
  <c r="N20" i="3"/>
  <c r="V20" i="3" s="1"/>
  <c r="W19" i="3"/>
  <c r="N19" i="3"/>
  <c r="V19" i="3" s="1"/>
  <c r="W18" i="3"/>
  <c r="N18" i="3"/>
  <c r="V18" i="3" s="1"/>
  <c r="W17" i="3"/>
  <c r="V17" i="3"/>
  <c r="N17" i="3"/>
  <c r="W16" i="3"/>
  <c r="N16" i="3"/>
  <c r="V16" i="3" s="1"/>
  <c r="W15" i="3"/>
  <c r="N15" i="3"/>
  <c r="V15" i="3" s="1"/>
  <c r="W14" i="3"/>
  <c r="N14" i="3"/>
  <c r="V14" i="3" s="1"/>
  <c r="W13" i="3"/>
  <c r="N13" i="3"/>
  <c r="V13" i="3" s="1"/>
  <c r="W12" i="3"/>
  <c r="V12" i="3"/>
  <c r="N12" i="3"/>
  <c r="W11" i="3"/>
  <c r="V11" i="3"/>
  <c r="N11" i="3"/>
  <c r="W10" i="3"/>
  <c r="N10" i="3"/>
  <c r="V10" i="3" s="1"/>
  <c r="W9" i="3"/>
  <c r="N9" i="3"/>
  <c r="V9" i="3" s="1"/>
  <c r="W8" i="3"/>
  <c r="N8" i="3"/>
  <c r="V8" i="3" s="1"/>
  <c r="W7" i="3"/>
  <c r="D113" i="4" s="1"/>
  <c r="V7" i="3"/>
  <c r="N7" i="3"/>
  <c r="W6" i="3"/>
  <c r="V6" i="3"/>
  <c r="N6" i="3"/>
  <c r="W5" i="3"/>
  <c r="V5" i="3"/>
  <c r="N5" i="3"/>
  <c r="W4" i="3"/>
  <c r="N4" i="3"/>
  <c r="V4" i="3" s="1"/>
  <c r="W3" i="3"/>
  <c r="N3" i="3"/>
  <c r="V3" i="3" s="1"/>
  <c r="W2" i="3"/>
  <c r="N2" i="3"/>
  <c r="V2" i="3" s="1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B11" i="2"/>
  <c r="B10" i="2"/>
  <c r="K113" i="4" l="1"/>
  <c r="J113" i="4"/>
  <c r="G113" i="4"/>
  <c r="F113" i="4"/>
  <c r="M113" i="4"/>
  <c r="L113" i="4"/>
  <c r="S113" i="4"/>
  <c r="B113" i="4"/>
  <c r="O113" i="4"/>
  <c r="A113" i="4"/>
  <c r="A113" i="5" s="1"/>
  <c r="E113" i="4"/>
  <c r="N113" i="4"/>
  <c r="I113" i="4"/>
  <c r="H113" i="4"/>
  <c r="C113" i="4"/>
  <c r="D63" i="4"/>
  <c r="D261" i="4"/>
  <c r="D11" i="4"/>
  <c r="D16" i="4"/>
  <c r="D26" i="4"/>
  <c r="D208" i="4"/>
  <c r="D226" i="4"/>
  <c r="D244" i="4"/>
  <c r="D322" i="4"/>
  <c r="D253" i="4"/>
  <c r="D271" i="4"/>
  <c r="D310" i="4"/>
  <c r="D305" i="4"/>
  <c r="D108" i="4"/>
  <c r="D219" i="4"/>
  <c r="D237" i="4"/>
  <c r="D273" i="4"/>
  <c r="D59" i="4"/>
  <c r="D149" i="4"/>
  <c r="D28" i="4"/>
  <c r="D34" i="4"/>
  <c r="D18" i="4"/>
  <c r="D79" i="4"/>
  <c r="D94" i="4"/>
  <c r="D202" i="4"/>
  <c r="D350" i="4"/>
  <c r="D229" i="4"/>
  <c r="D314" i="4"/>
  <c r="D9" i="4"/>
  <c r="D13" i="4"/>
  <c r="D338" i="4"/>
  <c r="D96" i="4"/>
  <c r="D143" i="4"/>
  <c r="D258" i="4"/>
  <c r="D276" i="4"/>
  <c r="D135" i="4"/>
  <c r="D267" i="4"/>
  <c r="D61" i="4"/>
  <c r="D196" i="4"/>
  <c r="D347" i="4"/>
  <c r="D311" i="4"/>
  <c r="D97" i="4"/>
  <c r="D80" i="4"/>
  <c r="D49" i="4"/>
  <c r="D307" i="4"/>
  <c r="D274" i="4"/>
  <c r="D109" i="4"/>
  <c r="D87" i="4"/>
  <c r="D53" i="4"/>
  <c r="D133" i="4"/>
  <c r="D75" i="4"/>
  <c r="D47" i="4"/>
  <c r="D20" i="4"/>
  <c r="D24" i="4"/>
  <c r="D223" i="4"/>
  <c r="D91" i="4"/>
  <c r="D68" i="4"/>
  <c r="D82" i="4"/>
  <c r="D104" i="4"/>
  <c r="D127" i="4"/>
  <c r="D161" i="4"/>
  <c r="D214" i="4"/>
  <c r="D250" i="4"/>
  <c r="D330" i="4"/>
  <c r="D70" i="4"/>
  <c r="D106" i="4"/>
  <c r="D89" i="4"/>
  <c r="D152" i="4"/>
  <c r="D37" i="4"/>
  <c r="D8" i="4"/>
  <c r="D23" i="4"/>
  <c r="D25" i="4"/>
  <c r="D31" i="4"/>
  <c r="D85" i="4"/>
  <c r="D88" i="4"/>
  <c r="D134" i="4"/>
  <c r="D171" i="4"/>
  <c r="D183" i="4"/>
  <c r="D186" i="4"/>
  <c r="D207" i="4"/>
  <c r="D95" i="4"/>
  <c r="D151" i="4"/>
  <c r="D312" i="4"/>
  <c r="D340" i="4"/>
  <c r="D56" i="4"/>
  <c r="D3" i="4"/>
  <c r="D52" i="4"/>
  <c r="D115" i="4"/>
  <c r="D154" i="4"/>
  <c r="D189" i="4"/>
  <c r="D255" i="4"/>
  <c r="D298" i="4"/>
  <c r="D320" i="4"/>
  <c r="D221" i="4"/>
  <c r="D256" i="4"/>
  <c r="D277" i="4"/>
  <c r="D17" i="4"/>
  <c r="D71" i="4"/>
  <c r="D78" i="4"/>
  <c r="D248" i="4"/>
  <c r="D251" i="4"/>
  <c r="D54" i="4"/>
  <c r="D58" i="4"/>
  <c r="D140" i="4"/>
  <c r="D44" i="4"/>
  <c r="D67" i="4"/>
  <c r="D163" i="4"/>
  <c r="D181" i="4"/>
  <c r="D285" i="4"/>
  <c r="D291" i="4"/>
  <c r="D348" i="4"/>
  <c r="D329" i="4"/>
  <c r="D323" i="4"/>
  <c r="D302" i="4"/>
  <c r="D293" i="4"/>
  <c r="D332" i="4"/>
  <c r="D327" i="4"/>
  <c r="D301" i="4"/>
  <c r="D295" i="4"/>
  <c r="D342" i="4"/>
  <c r="D337" i="4"/>
  <c r="D313" i="4"/>
  <c r="D289" i="4"/>
  <c r="D280" i="4"/>
  <c r="D335" i="4"/>
  <c r="D325" i="4"/>
  <c r="D308" i="4"/>
  <c r="D304" i="4"/>
  <c r="D286" i="4"/>
  <c r="D349" i="4"/>
  <c r="D315" i="4"/>
  <c r="D300" i="4"/>
  <c r="D272" i="4"/>
  <c r="D263" i="4"/>
  <c r="D254" i="4"/>
  <c r="D245" i="4"/>
  <c r="D236" i="4"/>
  <c r="D227" i="4"/>
  <c r="D218" i="4"/>
  <c r="D209" i="4"/>
  <c r="D200" i="4"/>
  <c r="D191" i="4"/>
  <c r="D182" i="4"/>
  <c r="D173" i="4"/>
  <c r="D164" i="4"/>
  <c r="D155" i="4"/>
  <c r="D146" i="4"/>
  <c r="D137" i="4"/>
  <c r="D128" i="4"/>
  <c r="D119" i="4"/>
  <c r="D110" i="4"/>
  <c r="D101" i="4"/>
  <c r="D92" i="4"/>
  <c r="D83" i="4"/>
  <c r="D333" i="4"/>
  <c r="D297" i="4"/>
  <c r="D72" i="4"/>
  <c r="D66" i="4"/>
  <c r="D57" i="4"/>
  <c r="D48" i="4"/>
  <c r="D39" i="4"/>
  <c r="D30" i="4"/>
  <c r="D21" i="4"/>
  <c r="D309" i="4"/>
  <c r="D303" i="4"/>
  <c r="D294" i="4"/>
  <c r="D287" i="4"/>
  <c r="D283" i="4"/>
  <c r="D265" i="4"/>
  <c r="D260" i="4"/>
  <c r="D246" i="4"/>
  <c r="D241" i="4"/>
  <c r="D222" i="4"/>
  <c r="D217" i="4"/>
  <c r="D203" i="4"/>
  <c r="D198" i="4"/>
  <c r="D184" i="4"/>
  <c r="D179" i="4"/>
  <c r="D165" i="4"/>
  <c r="D160" i="4"/>
  <c r="D141" i="4"/>
  <c r="D136" i="4"/>
  <c r="D122" i="4"/>
  <c r="D117" i="4"/>
  <c r="D103" i="4"/>
  <c r="D98" i="4"/>
  <c r="D84" i="4"/>
  <c r="D326" i="4"/>
  <c r="D317" i="4"/>
  <c r="D60" i="4"/>
  <c r="D55" i="4"/>
  <c r="D41" i="4"/>
  <c r="D36" i="4"/>
  <c r="D14" i="4"/>
  <c r="D5" i="4"/>
  <c r="D324" i="4"/>
  <c r="D288" i="4"/>
  <c r="D282" i="4"/>
  <c r="D279" i="4"/>
  <c r="D77" i="4"/>
  <c r="D65" i="4"/>
  <c r="D51" i="4"/>
  <c r="D46" i="4"/>
  <c r="D32" i="4"/>
  <c r="D27" i="4"/>
  <c r="D22" i="4"/>
  <c r="D15" i="4"/>
  <c r="D6" i="4"/>
  <c r="D262" i="4"/>
  <c r="D252" i="4"/>
  <c r="D242" i="4"/>
  <c r="D235" i="4"/>
  <c r="D232" i="4"/>
  <c r="D225" i="4"/>
  <c r="D215" i="4"/>
  <c r="D205" i="4"/>
  <c r="D195" i="4"/>
  <c r="D188" i="4"/>
  <c r="D185" i="4"/>
  <c r="D178" i="4"/>
  <c r="D175" i="4"/>
  <c r="D168" i="4"/>
  <c r="D158" i="4"/>
  <c r="D148" i="4"/>
  <c r="D138" i="4"/>
  <c r="D131" i="4"/>
  <c r="D121" i="4"/>
  <c r="D111" i="4"/>
  <c r="D73" i="4"/>
  <c r="D69" i="4"/>
  <c r="D345" i="4"/>
  <c r="D296" i="4"/>
  <c r="D269" i="4"/>
  <c r="D257" i="4"/>
  <c r="D240" i="4"/>
  <c r="D228" i="4"/>
  <c r="D211" i="4"/>
  <c r="D192" i="4"/>
  <c r="D100" i="4"/>
  <c r="D81" i="4"/>
  <c r="D33" i="4"/>
  <c r="D2" i="4"/>
  <c r="D336" i="4"/>
  <c r="D334" i="4"/>
  <c r="D319" i="4"/>
  <c r="D306" i="4"/>
  <c r="D292" i="4"/>
  <c r="D281" i="4"/>
  <c r="D233" i="4"/>
  <c r="D216" i="4"/>
  <c r="D204" i="4"/>
  <c r="D187" i="4"/>
  <c r="D156" i="4"/>
  <c r="D139" i="4"/>
  <c r="D93" i="4"/>
  <c r="D42" i="4"/>
  <c r="D10" i="4"/>
  <c r="D339" i="4"/>
  <c r="D321" i="4"/>
  <c r="D299" i="4"/>
  <c r="D278" i="4"/>
  <c r="D270" i="4"/>
  <c r="D247" i="4"/>
  <c r="D224" i="4"/>
  <c r="D201" i="4"/>
  <c r="D199" i="4"/>
  <c r="D153" i="4"/>
  <c r="D147" i="4"/>
  <c r="D107" i="4"/>
  <c r="D99" i="4"/>
  <c r="D62" i="4"/>
  <c r="D331" i="4"/>
  <c r="D290" i="4"/>
  <c r="D266" i="4"/>
  <c r="D243" i="4"/>
  <c r="D220" i="4"/>
  <c r="D197" i="4"/>
  <c r="D174" i="4"/>
  <c r="D172" i="4"/>
  <c r="D166" i="4"/>
  <c r="D126" i="4"/>
  <c r="D120" i="4"/>
  <c r="D118" i="4"/>
  <c r="D344" i="4"/>
  <c r="D318" i="4"/>
  <c r="D239" i="4"/>
  <c r="D193" i="4"/>
  <c r="D170" i="4"/>
  <c r="D145" i="4"/>
  <c r="D124" i="4"/>
  <c r="D343" i="4"/>
  <c r="D234" i="4"/>
  <c r="D213" i="4"/>
  <c r="D190" i="4"/>
  <c r="D167" i="4"/>
  <c r="D144" i="4"/>
  <c r="D123" i="4"/>
  <c r="D112" i="4"/>
  <c r="D45" i="4"/>
  <c r="D206" i="4"/>
  <c r="D176" i="4"/>
  <c r="D162" i="4"/>
  <c r="D132" i="4"/>
  <c r="D130" i="4"/>
  <c r="D114" i="4"/>
  <c r="D346" i="4"/>
  <c r="D275" i="4"/>
  <c r="D259" i="4"/>
  <c r="D169" i="4"/>
  <c r="D125" i="4"/>
  <c r="D116" i="4"/>
  <c r="D50" i="4"/>
  <c r="D43" i="4"/>
  <c r="D38" i="4"/>
  <c r="D7" i="4"/>
  <c r="D268" i="4"/>
  <c r="D238" i="4"/>
  <c r="D4" i="4"/>
  <c r="D35" i="4"/>
  <c r="D64" i="4"/>
  <c r="D90" i="4"/>
  <c r="D102" i="4"/>
  <c r="D150" i="4"/>
  <c r="D194" i="4"/>
  <c r="D230" i="4"/>
  <c r="D19" i="4"/>
  <c r="D29" i="4"/>
  <c r="D142" i="4"/>
  <c r="D159" i="4"/>
  <c r="D177" i="4"/>
  <c r="D212" i="4"/>
  <c r="D284" i="4"/>
  <c r="D316" i="4"/>
  <c r="D328" i="4"/>
  <c r="D12" i="4"/>
  <c r="D76" i="4"/>
  <c r="D105" i="4"/>
  <c r="D180" i="4"/>
  <c r="D40" i="4"/>
  <c r="D74" i="4"/>
  <c r="D86" i="4"/>
  <c r="D129" i="4"/>
  <c r="D157" i="4"/>
  <c r="D210" i="4"/>
  <c r="D231" i="4"/>
  <c r="D249" i="4"/>
  <c r="D264" i="4"/>
  <c r="D341" i="4"/>
  <c r="M231" i="4" l="1"/>
  <c r="L231" i="4"/>
  <c r="C231" i="4"/>
  <c r="B231" i="4"/>
  <c r="J231" i="4"/>
  <c r="I231" i="4"/>
  <c r="O231" i="4"/>
  <c r="N231" i="4"/>
  <c r="K231" i="4"/>
  <c r="H231" i="4"/>
  <c r="G231" i="4"/>
  <c r="F231" i="4"/>
  <c r="E231" i="4"/>
  <c r="A231" i="4"/>
  <c r="S231" i="4"/>
  <c r="M343" i="4"/>
  <c r="H343" i="4"/>
  <c r="J343" i="4"/>
  <c r="I343" i="4"/>
  <c r="L343" i="4"/>
  <c r="K343" i="4"/>
  <c r="A343" i="4"/>
  <c r="C343" i="4"/>
  <c r="B343" i="4"/>
  <c r="N343" i="4"/>
  <c r="E343" i="4"/>
  <c r="G343" i="4"/>
  <c r="F343" i="4"/>
  <c r="S343" i="4"/>
  <c r="O343" i="4"/>
  <c r="K185" i="4"/>
  <c r="J185" i="4"/>
  <c r="I185" i="4"/>
  <c r="H185" i="4"/>
  <c r="E185" i="4"/>
  <c r="C185" i="4"/>
  <c r="L185" i="4"/>
  <c r="G185" i="4"/>
  <c r="O185" i="4"/>
  <c r="N185" i="4"/>
  <c r="M185" i="4"/>
  <c r="F185" i="4"/>
  <c r="B185" i="4"/>
  <c r="A185" i="4"/>
  <c r="A185" i="5" s="1"/>
  <c r="S185" i="4"/>
  <c r="F303" i="4"/>
  <c r="J303" i="4"/>
  <c r="I303" i="4"/>
  <c r="E303" i="4"/>
  <c r="C303" i="4"/>
  <c r="A303" i="4"/>
  <c r="B303" i="4"/>
  <c r="M303" i="4"/>
  <c r="L303" i="4"/>
  <c r="K303" i="4"/>
  <c r="H303" i="4"/>
  <c r="G303" i="4"/>
  <c r="S303" i="4"/>
  <c r="O303" i="4"/>
  <c r="N303" i="4"/>
  <c r="E348" i="4"/>
  <c r="K348" i="4"/>
  <c r="J348" i="4"/>
  <c r="S348" i="4"/>
  <c r="O348" i="4"/>
  <c r="N348" i="4"/>
  <c r="M348" i="4"/>
  <c r="L348" i="4"/>
  <c r="I348" i="4"/>
  <c r="A348" i="4"/>
  <c r="H348" i="4"/>
  <c r="G348" i="4"/>
  <c r="F348" i="4"/>
  <c r="C348" i="4"/>
  <c r="B348" i="4"/>
  <c r="K68" i="4"/>
  <c r="J68" i="4"/>
  <c r="I68" i="4"/>
  <c r="F68" i="4"/>
  <c r="E68" i="4"/>
  <c r="C68" i="4"/>
  <c r="B68" i="4"/>
  <c r="A68" i="4"/>
  <c r="A68" i="5" s="1"/>
  <c r="S68" i="4"/>
  <c r="M68" i="4"/>
  <c r="L68" i="4"/>
  <c r="H68" i="4"/>
  <c r="N68" i="4"/>
  <c r="O68" i="4"/>
  <c r="G68" i="4"/>
  <c r="S11" i="4"/>
  <c r="N11" i="4"/>
  <c r="O11" i="4"/>
  <c r="J11" i="4"/>
  <c r="I11" i="4"/>
  <c r="L11" i="4"/>
  <c r="G11" i="4"/>
  <c r="F11" i="4"/>
  <c r="K11" i="4"/>
  <c r="H11" i="4"/>
  <c r="M11" i="4"/>
  <c r="B11" i="4"/>
  <c r="C11" i="4"/>
  <c r="E11" i="4"/>
  <c r="A11" i="4"/>
  <c r="A11" i="5" s="1"/>
  <c r="O259" i="4"/>
  <c r="N259" i="4"/>
  <c r="A259" i="4"/>
  <c r="G259" i="4"/>
  <c r="E259" i="4"/>
  <c r="F259" i="4"/>
  <c r="I259" i="4"/>
  <c r="H259" i="4"/>
  <c r="C259" i="4"/>
  <c r="L259" i="4"/>
  <c r="K259" i="4"/>
  <c r="J259" i="4"/>
  <c r="S259" i="4"/>
  <c r="M259" i="4"/>
  <c r="B259" i="4"/>
  <c r="G228" i="4"/>
  <c r="F228" i="4"/>
  <c r="K228" i="4"/>
  <c r="J228" i="4"/>
  <c r="A228" i="4"/>
  <c r="C228" i="4"/>
  <c r="S228" i="4"/>
  <c r="I228" i="4"/>
  <c r="H228" i="4"/>
  <c r="E228" i="4"/>
  <c r="B228" i="4"/>
  <c r="O228" i="4"/>
  <c r="N228" i="4"/>
  <c r="M228" i="4"/>
  <c r="L228" i="4"/>
  <c r="C136" i="4"/>
  <c r="B136" i="4"/>
  <c r="E136" i="4"/>
  <c r="O136" i="4"/>
  <c r="M136" i="4"/>
  <c r="N136" i="4"/>
  <c r="S136" i="4"/>
  <c r="L136" i="4"/>
  <c r="J136" i="4"/>
  <c r="G136" i="4"/>
  <c r="F136" i="4"/>
  <c r="A136" i="4"/>
  <c r="A136" i="5" s="1"/>
  <c r="H136" i="4"/>
  <c r="K136" i="4"/>
  <c r="I136" i="4"/>
  <c r="H304" i="4"/>
  <c r="M304" i="4"/>
  <c r="L304" i="4"/>
  <c r="C304" i="4"/>
  <c r="O304" i="4"/>
  <c r="N304" i="4"/>
  <c r="K304" i="4"/>
  <c r="S304" i="4"/>
  <c r="F304" i="4"/>
  <c r="E304" i="4"/>
  <c r="J304" i="4"/>
  <c r="G304" i="4"/>
  <c r="B304" i="4"/>
  <c r="A304" i="4"/>
  <c r="I304" i="4"/>
  <c r="I85" i="4"/>
  <c r="H85" i="4"/>
  <c r="K85" i="4"/>
  <c r="J85" i="4"/>
  <c r="M85" i="4"/>
  <c r="G85" i="4"/>
  <c r="L85" i="4"/>
  <c r="O85" i="4"/>
  <c r="N85" i="4"/>
  <c r="F85" i="4"/>
  <c r="E85" i="4"/>
  <c r="S85" i="4"/>
  <c r="C85" i="4"/>
  <c r="A85" i="4"/>
  <c r="A85" i="5" s="1"/>
  <c r="B85" i="4"/>
  <c r="J28" i="4"/>
  <c r="H28" i="4"/>
  <c r="I28" i="4"/>
  <c r="M28" i="4"/>
  <c r="L28" i="4"/>
  <c r="B28" i="4"/>
  <c r="A28" i="4"/>
  <c r="A28" i="5" s="1"/>
  <c r="O28" i="4"/>
  <c r="N28" i="4"/>
  <c r="K28" i="4"/>
  <c r="S28" i="4"/>
  <c r="G28" i="4"/>
  <c r="F28" i="4"/>
  <c r="E28" i="4"/>
  <c r="C28" i="4"/>
  <c r="K230" i="4"/>
  <c r="J230" i="4"/>
  <c r="O230" i="4"/>
  <c r="M230" i="4"/>
  <c r="N230" i="4"/>
  <c r="A230" i="4"/>
  <c r="B230" i="4"/>
  <c r="G230" i="4"/>
  <c r="C230" i="4"/>
  <c r="F230" i="4"/>
  <c r="E230" i="4"/>
  <c r="S230" i="4"/>
  <c r="L230" i="4"/>
  <c r="I230" i="4"/>
  <c r="H230" i="4"/>
  <c r="N62" i="4"/>
  <c r="M62" i="4"/>
  <c r="L62" i="4"/>
  <c r="J62" i="4"/>
  <c r="K62" i="4"/>
  <c r="C62" i="4"/>
  <c r="B62" i="4"/>
  <c r="I62" i="4"/>
  <c r="H62" i="4"/>
  <c r="G62" i="4"/>
  <c r="O62" i="4"/>
  <c r="E62" i="4"/>
  <c r="S62" i="4"/>
  <c r="F62" i="4"/>
  <c r="A62" i="4"/>
  <c r="A62" i="5" s="1"/>
  <c r="B279" i="4"/>
  <c r="A279" i="4"/>
  <c r="F279" i="4"/>
  <c r="E279" i="4"/>
  <c r="H279" i="4"/>
  <c r="G279" i="4"/>
  <c r="K279" i="4"/>
  <c r="J279" i="4"/>
  <c r="S279" i="4"/>
  <c r="O279" i="4"/>
  <c r="N279" i="4"/>
  <c r="M279" i="4"/>
  <c r="L279" i="4"/>
  <c r="I279" i="4"/>
  <c r="C279" i="4"/>
  <c r="E164" i="4"/>
  <c r="A164" i="4"/>
  <c r="A164" i="5" s="1"/>
  <c r="O164" i="4"/>
  <c r="N164" i="4"/>
  <c r="J164" i="4"/>
  <c r="I164" i="4"/>
  <c r="H164" i="4"/>
  <c r="M164" i="4"/>
  <c r="L164" i="4"/>
  <c r="K164" i="4"/>
  <c r="G164" i="4"/>
  <c r="S164" i="4"/>
  <c r="F164" i="4"/>
  <c r="C164" i="4"/>
  <c r="B164" i="4"/>
  <c r="F31" i="4"/>
  <c r="E31" i="4"/>
  <c r="B31" i="4"/>
  <c r="A31" i="4"/>
  <c r="A31" i="5" s="1"/>
  <c r="M31" i="4"/>
  <c r="L31" i="4"/>
  <c r="I31" i="4"/>
  <c r="H31" i="4"/>
  <c r="G31" i="4"/>
  <c r="S31" i="4"/>
  <c r="J31" i="4"/>
  <c r="C31" i="4"/>
  <c r="O31" i="4"/>
  <c r="K31" i="4"/>
  <c r="N31" i="4"/>
  <c r="K149" i="4"/>
  <c r="J149" i="4"/>
  <c r="M149" i="4"/>
  <c r="I149" i="4"/>
  <c r="L149" i="4"/>
  <c r="H149" i="4"/>
  <c r="G149" i="4"/>
  <c r="C149" i="4"/>
  <c r="B149" i="4"/>
  <c r="A149" i="4"/>
  <c r="A149" i="5" s="1"/>
  <c r="S149" i="4"/>
  <c r="O149" i="4"/>
  <c r="N149" i="4"/>
  <c r="F149" i="4"/>
  <c r="E149" i="4"/>
  <c r="K194" i="4"/>
  <c r="J194" i="4"/>
  <c r="G194" i="4"/>
  <c r="F194" i="4"/>
  <c r="B194" i="4"/>
  <c r="A194" i="4"/>
  <c r="A194" i="5" s="1"/>
  <c r="M194" i="4"/>
  <c r="L194" i="4"/>
  <c r="I194" i="4"/>
  <c r="H194" i="4"/>
  <c r="O194" i="4"/>
  <c r="C194" i="4"/>
  <c r="N194" i="4"/>
  <c r="E194" i="4"/>
  <c r="S194" i="4"/>
  <c r="A99" i="4"/>
  <c r="A99" i="5" s="1"/>
  <c r="I99" i="4"/>
  <c r="H99" i="4"/>
  <c r="O99" i="4"/>
  <c r="M99" i="4"/>
  <c r="N99" i="4"/>
  <c r="S99" i="4"/>
  <c r="L99" i="4"/>
  <c r="K99" i="4"/>
  <c r="G99" i="4"/>
  <c r="F99" i="4"/>
  <c r="E99" i="4"/>
  <c r="J99" i="4"/>
  <c r="C99" i="4"/>
  <c r="B99" i="4"/>
  <c r="O205" i="4"/>
  <c r="N205" i="4"/>
  <c r="M205" i="4"/>
  <c r="L205" i="4"/>
  <c r="E205" i="4"/>
  <c r="C205" i="4"/>
  <c r="S205" i="4"/>
  <c r="K205" i="4"/>
  <c r="J205" i="4"/>
  <c r="I205" i="4"/>
  <c r="H205" i="4"/>
  <c r="G205" i="4"/>
  <c r="F205" i="4"/>
  <c r="B205" i="4"/>
  <c r="A205" i="4"/>
  <c r="C30" i="4"/>
  <c r="S30" i="4"/>
  <c r="F30" i="4"/>
  <c r="E30" i="4"/>
  <c r="M30" i="4"/>
  <c r="L30" i="4"/>
  <c r="O30" i="4"/>
  <c r="N30" i="4"/>
  <c r="K30" i="4"/>
  <c r="J30" i="4"/>
  <c r="I30" i="4"/>
  <c r="H30" i="4"/>
  <c r="G30" i="4"/>
  <c r="B30" i="4"/>
  <c r="A30" i="4"/>
  <c r="A30" i="5" s="1"/>
  <c r="C181" i="4"/>
  <c r="B181" i="4"/>
  <c r="M181" i="4"/>
  <c r="L181" i="4"/>
  <c r="A181" i="4"/>
  <c r="A181" i="5" s="1"/>
  <c r="S181" i="4"/>
  <c r="N181" i="4"/>
  <c r="K181" i="4"/>
  <c r="J181" i="4"/>
  <c r="E181" i="4"/>
  <c r="G181" i="4"/>
  <c r="H181" i="4"/>
  <c r="O181" i="4"/>
  <c r="I181" i="4"/>
  <c r="F181" i="4"/>
  <c r="J24" i="4"/>
  <c r="I24" i="4"/>
  <c r="N24" i="4"/>
  <c r="L24" i="4"/>
  <c r="M24" i="4"/>
  <c r="C24" i="4"/>
  <c r="B24" i="4"/>
  <c r="K24" i="4"/>
  <c r="H24" i="4"/>
  <c r="G24" i="4"/>
  <c r="S24" i="4"/>
  <c r="O24" i="4"/>
  <c r="F24" i="4"/>
  <c r="E24" i="4"/>
  <c r="A24" i="4"/>
  <c r="A24" i="5" s="1"/>
  <c r="K86" i="4"/>
  <c r="J86" i="4"/>
  <c r="O86" i="4"/>
  <c r="N86" i="4"/>
  <c r="F86" i="4"/>
  <c r="E86" i="4"/>
  <c r="C86" i="4"/>
  <c r="B86" i="4"/>
  <c r="A86" i="4"/>
  <c r="A86" i="5" s="1"/>
  <c r="S86" i="4"/>
  <c r="M86" i="4"/>
  <c r="L86" i="4"/>
  <c r="I86" i="4"/>
  <c r="H86" i="4"/>
  <c r="G86" i="4"/>
  <c r="I193" i="4"/>
  <c r="H193" i="4"/>
  <c r="C193" i="4"/>
  <c r="B193" i="4"/>
  <c r="O193" i="4"/>
  <c r="M193" i="4"/>
  <c r="N193" i="4"/>
  <c r="F193" i="4"/>
  <c r="E193" i="4"/>
  <c r="S193" i="4"/>
  <c r="L193" i="4"/>
  <c r="K193" i="4"/>
  <c r="J193" i="4"/>
  <c r="G193" i="4"/>
  <c r="A193" i="4"/>
  <c r="A193" i="5" s="1"/>
  <c r="S215" i="4"/>
  <c r="O215" i="4"/>
  <c r="N215" i="4"/>
  <c r="E215" i="4"/>
  <c r="C215" i="4"/>
  <c r="I215" i="4"/>
  <c r="H215" i="4"/>
  <c r="G215" i="4"/>
  <c r="F215" i="4"/>
  <c r="M215" i="4"/>
  <c r="K215" i="4"/>
  <c r="A215" i="4"/>
  <c r="J215" i="4"/>
  <c r="B215" i="4"/>
  <c r="L215" i="4"/>
  <c r="C39" i="4"/>
  <c r="S39" i="4"/>
  <c r="N39" i="4"/>
  <c r="O39" i="4"/>
  <c r="G39" i="4"/>
  <c r="F39" i="4"/>
  <c r="M39" i="4"/>
  <c r="K39" i="4"/>
  <c r="H39" i="4"/>
  <c r="A39" i="4"/>
  <c r="A39" i="5" s="1"/>
  <c r="E39" i="4"/>
  <c r="B39" i="4"/>
  <c r="L39" i="4"/>
  <c r="J39" i="4"/>
  <c r="I39" i="4"/>
  <c r="C163" i="4"/>
  <c r="B163" i="4"/>
  <c r="S163" i="4"/>
  <c r="O163" i="4"/>
  <c r="M163" i="4"/>
  <c r="N163" i="4"/>
  <c r="F163" i="4"/>
  <c r="E163" i="4"/>
  <c r="G163" i="4"/>
  <c r="A163" i="4"/>
  <c r="A163" i="5" s="1"/>
  <c r="I163" i="4"/>
  <c r="J163" i="4"/>
  <c r="L163" i="4"/>
  <c r="K163" i="4"/>
  <c r="H163" i="4"/>
  <c r="B20" i="4"/>
  <c r="C20" i="4"/>
  <c r="O20" i="4"/>
  <c r="L20" i="4"/>
  <c r="K20" i="4"/>
  <c r="A20" i="4"/>
  <c r="A20" i="5" s="1"/>
  <c r="N20" i="4"/>
  <c r="M20" i="4"/>
  <c r="S20" i="4"/>
  <c r="F20" i="4"/>
  <c r="H20" i="4"/>
  <c r="E20" i="4"/>
  <c r="I20" i="4"/>
  <c r="J20" i="4"/>
  <c r="G20" i="4"/>
  <c r="E74" i="4"/>
  <c r="J74" i="4"/>
  <c r="I74" i="4"/>
  <c r="L74" i="4"/>
  <c r="H74" i="4"/>
  <c r="K74" i="4"/>
  <c r="O74" i="4"/>
  <c r="N74" i="4"/>
  <c r="G74" i="4"/>
  <c r="C74" i="4"/>
  <c r="B74" i="4"/>
  <c r="A74" i="4"/>
  <c r="A74" i="5" s="1"/>
  <c r="S74" i="4"/>
  <c r="M74" i="4"/>
  <c r="F74" i="4"/>
  <c r="K239" i="4"/>
  <c r="J239" i="4"/>
  <c r="S239" i="4"/>
  <c r="G239" i="4"/>
  <c r="E239" i="4"/>
  <c r="F239" i="4"/>
  <c r="I239" i="4"/>
  <c r="H239" i="4"/>
  <c r="C239" i="4"/>
  <c r="B239" i="4"/>
  <c r="A239" i="4"/>
  <c r="O239" i="4"/>
  <c r="N239" i="4"/>
  <c r="M239" i="4"/>
  <c r="L239" i="4"/>
  <c r="J296" i="4"/>
  <c r="G296" i="4"/>
  <c r="F296" i="4"/>
  <c r="C296" i="4"/>
  <c r="B296" i="4"/>
  <c r="I296" i="4"/>
  <c r="E296" i="4"/>
  <c r="H296" i="4"/>
  <c r="A296" i="4"/>
  <c r="O296" i="4"/>
  <c r="N296" i="4"/>
  <c r="M296" i="4"/>
  <c r="L296" i="4"/>
  <c r="K296" i="4"/>
  <c r="S296" i="4"/>
  <c r="S179" i="4"/>
  <c r="E179" i="4"/>
  <c r="K179" i="4"/>
  <c r="I179" i="4"/>
  <c r="J179" i="4"/>
  <c r="O179" i="4"/>
  <c r="N179" i="4"/>
  <c r="M179" i="4"/>
  <c r="G179" i="4"/>
  <c r="F179" i="4"/>
  <c r="L179" i="4"/>
  <c r="H179" i="4"/>
  <c r="C179" i="4"/>
  <c r="B179" i="4"/>
  <c r="A179" i="4"/>
  <c r="A179" i="5" s="1"/>
  <c r="E280" i="4"/>
  <c r="C280" i="4"/>
  <c r="K280" i="4"/>
  <c r="J280" i="4"/>
  <c r="O280" i="4"/>
  <c r="M280" i="4"/>
  <c r="N280" i="4"/>
  <c r="F280" i="4"/>
  <c r="B280" i="4"/>
  <c r="A280" i="4"/>
  <c r="I280" i="4"/>
  <c r="H280" i="4"/>
  <c r="G280" i="4"/>
  <c r="S280" i="4"/>
  <c r="L280" i="4"/>
  <c r="J8" i="4"/>
  <c r="H8" i="4"/>
  <c r="I8" i="4"/>
  <c r="S8" i="4"/>
  <c r="O8" i="4"/>
  <c r="N8" i="4"/>
  <c r="L8" i="4"/>
  <c r="E8" i="4"/>
  <c r="C8" i="4"/>
  <c r="K8" i="4"/>
  <c r="A8" i="4"/>
  <c r="A8" i="5" s="1"/>
  <c r="G8" i="4"/>
  <c r="F8" i="4"/>
  <c r="B8" i="4"/>
  <c r="M8" i="4"/>
  <c r="G237" i="4"/>
  <c r="F237" i="4"/>
  <c r="I237" i="4"/>
  <c r="H237" i="4"/>
  <c r="O237" i="4"/>
  <c r="S237" i="4"/>
  <c r="K237" i="4"/>
  <c r="J237" i="4"/>
  <c r="E237" i="4"/>
  <c r="C237" i="4"/>
  <c r="B237" i="4"/>
  <c r="A237" i="4"/>
  <c r="N237" i="4"/>
  <c r="M237" i="4"/>
  <c r="L237" i="4"/>
  <c r="M132" i="4"/>
  <c r="L132" i="4"/>
  <c r="G132" i="4"/>
  <c r="F132" i="4"/>
  <c r="K132" i="4"/>
  <c r="I132" i="4"/>
  <c r="J132" i="4"/>
  <c r="H132" i="4"/>
  <c r="E132" i="4"/>
  <c r="N132" i="4"/>
  <c r="C132" i="4"/>
  <c r="A132" i="4"/>
  <c r="A132" i="5" s="1"/>
  <c r="S132" i="4"/>
  <c r="O132" i="4"/>
  <c r="B132" i="4"/>
  <c r="N345" i="4"/>
  <c r="C345" i="4"/>
  <c r="B345" i="4"/>
  <c r="S345" i="4"/>
  <c r="O345" i="4"/>
  <c r="M345" i="4"/>
  <c r="K345" i="4"/>
  <c r="L345" i="4"/>
  <c r="A345" i="4"/>
  <c r="J345" i="4"/>
  <c r="E345" i="4"/>
  <c r="G345" i="4"/>
  <c r="H345" i="4"/>
  <c r="I345" i="4"/>
  <c r="F345" i="4"/>
  <c r="I184" i="4"/>
  <c r="H184" i="4"/>
  <c r="E184" i="4"/>
  <c r="S184" i="4"/>
  <c r="C184" i="4"/>
  <c r="O184" i="4"/>
  <c r="B184" i="4"/>
  <c r="A184" i="4"/>
  <c r="A184" i="5" s="1"/>
  <c r="N184" i="4"/>
  <c r="M184" i="4"/>
  <c r="L184" i="4"/>
  <c r="K184" i="4"/>
  <c r="J184" i="4"/>
  <c r="G184" i="4"/>
  <c r="F184" i="4"/>
  <c r="N289" i="4"/>
  <c r="M289" i="4"/>
  <c r="L289" i="4"/>
  <c r="S289" i="4"/>
  <c r="K289" i="4"/>
  <c r="O289" i="4"/>
  <c r="J289" i="4"/>
  <c r="I289" i="4"/>
  <c r="H289" i="4"/>
  <c r="G289" i="4"/>
  <c r="F289" i="4"/>
  <c r="E289" i="4"/>
  <c r="C289" i="4"/>
  <c r="B289" i="4"/>
  <c r="A289" i="4"/>
  <c r="H37" i="4"/>
  <c r="F37" i="4"/>
  <c r="G37" i="4"/>
  <c r="N37" i="4"/>
  <c r="M37" i="4"/>
  <c r="S37" i="4"/>
  <c r="J37" i="4"/>
  <c r="E37" i="4"/>
  <c r="B37" i="4"/>
  <c r="A37" i="4"/>
  <c r="A37" i="5" s="1"/>
  <c r="O37" i="4"/>
  <c r="K37" i="4"/>
  <c r="C37" i="4"/>
  <c r="L37" i="4"/>
  <c r="I37" i="4"/>
  <c r="G75" i="4"/>
  <c r="M75" i="4"/>
  <c r="L75" i="4"/>
  <c r="O75" i="4"/>
  <c r="S75" i="4"/>
  <c r="K75" i="4"/>
  <c r="J75" i="4"/>
  <c r="I75" i="4"/>
  <c r="F75" i="4"/>
  <c r="E75" i="4"/>
  <c r="H75" i="4"/>
  <c r="N75" i="4"/>
  <c r="C75" i="4"/>
  <c r="B75" i="4"/>
  <c r="A75" i="4"/>
  <c r="A75" i="5" s="1"/>
  <c r="A162" i="4"/>
  <c r="A162" i="5" s="1"/>
  <c r="M162" i="4"/>
  <c r="L162" i="4"/>
  <c r="I162" i="4"/>
  <c r="G162" i="4"/>
  <c r="H162" i="4"/>
  <c r="K162" i="4"/>
  <c r="J162" i="4"/>
  <c r="F162" i="4"/>
  <c r="E162" i="4"/>
  <c r="C162" i="4"/>
  <c r="B162" i="4"/>
  <c r="O162" i="4"/>
  <c r="S162" i="4"/>
  <c r="N162" i="4"/>
  <c r="F281" i="4"/>
  <c r="H281" i="4"/>
  <c r="G281" i="4"/>
  <c r="S281" i="4"/>
  <c r="O281" i="4"/>
  <c r="E281" i="4"/>
  <c r="N281" i="4"/>
  <c r="M281" i="4"/>
  <c r="L281" i="4"/>
  <c r="A281" i="4"/>
  <c r="K281" i="4"/>
  <c r="I281" i="4"/>
  <c r="J281" i="4"/>
  <c r="C281" i="4"/>
  <c r="B281" i="4"/>
  <c r="A198" i="4"/>
  <c r="A198" i="5" s="1"/>
  <c r="E198" i="4"/>
  <c r="C198" i="4"/>
  <c r="B198" i="4"/>
  <c r="S198" i="4"/>
  <c r="O198" i="4"/>
  <c r="N198" i="4"/>
  <c r="M198" i="4"/>
  <c r="J198" i="4"/>
  <c r="I198" i="4"/>
  <c r="H198" i="4"/>
  <c r="G198" i="4"/>
  <c r="F198" i="4"/>
  <c r="L198" i="4"/>
  <c r="K198" i="4"/>
  <c r="G313" i="4"/>
  <c r="L313" i="4"/>
  <c r="E313" i="4"/>
  <c r="O313" i="4"/>
  <c r="N313" i="4"/>
  <c r="J313" i="4"/>
  <c r="H313" i="4"/>
  <c r="I313" i="4"/>
  <c r="F313" i="4"/>
  <c r="C313" i="4"/>
  <c r="B313" i="4"/>
  <c r="A313" i="4"/>
  <c r="S313" i="4"/>
  <c r="M313" i="4"/>
  <c r="K313" i="4"/>
  <c r="S152" i="4"/>
  <c r="K152" i="4"/>
  <c r="J152" i="4"/>
  <c r="I152" i="4"/>
  <c r="G152" i="4"/>
  <c r="H152" i="4"/>
  <c r="O152" i="4"/>
  <c r="N152" i="4"/>
  <c r="L152" i="4"/>
  <c r="F152" i="4"/>
  <c r="M152" i="4"/>
  <c r="E152" i="4"/>
  <c r="C152" i="4"/>
  <c r="B152" i="4"/>
  <c r="A152" i="4"/>
  <c r="A152" i="5" s="1"/>
  <c r="A108" i="4"/>
  <c r="A108" i="5" s="1"/>
  <c r="G108" i="4"/>
  <c r="F108" i="4"/>
  <c r="I108" i="4"/>
  <c r="E108" i="4"/>
  <c r="H108" i="4"/>
  <c r="L108" i="4"/>
  <c r="K108" i="4"/>
  <c r="O108" i="4"/>
  <c r="C108" i="4"/>
  <c r="B108" i="4"/>
  <c r="S108" i="4"/>
  <c r="N108" i="4"/>
  <c r="M108" i="4"/>
  <c r="J108" i="4"/>
  <c r="K176" i="4"/>
  <c r="J176" i="4"/>
  <c r="M176" i="4"/>
  <c r="L176" i="4"/>
  <c r="O176" i="4"/>
  <c r="I176" i="4"/>
  <c r="N176" i="4"/>
  <c r="B176" i="4"/>
  <c r="A176" i="4"/>
  <c r="A176" i="5" s="1"/>
  <c r="E176" i="4"/>
  <c r="C176" i="4"/>
  <c r="H176" i="4"/>
  <c r="G176" i="4"/>
  <c r="F176" i="4"/>
  <c r="S176" i="4"/>
  <c r="C73" i="4"/>
  <c r="G73" i="4"/>
  <c r="F73" i="4"/>
  <c r="E73" i="4"/>
  <c r="B73" i="4"/>
  <c r="A73" i="4"/>
  <c r="A73" i="5" s="1"/>
  <c r="O73" i="4"/>
  <c r="N73" i="4"/>
  <c r="M73" i="4"/>
  <c r="K73" i="4"/>
  <c r="H73" i="4"/>
  <c r="I73" i="4"/>
  <c r="S73" i="4"/>
  <c r="L73" i="4"/>
  <c r="J73" i="4"/>
  <c r="K203" i="4"/>
  <c r="J203" i="4"/>
  <c r="E203" i="4"/>
  <c r="O203" i="4"/>
  <c r="M203" i="4"/>
  <c r="N203" i="4"/>
  <c r="A203" i="4"/>
  <c r="S203" i="4"/>
  <c r="L203" i="4"/>
  <c r="I203" i="4"/>
  <c r="H203" i="4"/>
  <c r="C203" i="4"/>
  <c r="B203" i="4"/>
  <c r="F203" i="4"/>
  <c r="G203" i="4"/>
  <c r="A337" i="4"/>
  <c r="I337" i="4"/>
  <c r="E337" i="4"/>
  <c r="S337" i="4"/>
  <c r="O337" i="4"/>
  <c r="F337" i="4"/>
  <c r="C337" i="4"/>
  <c r="B337" i="4"/>
  <c r="H337" i="4"/>
  <c r="G337" i="4"/>
  <c r="N337" i="4"/>
  <c r="M337" i="4"/>
  <c r="L337" i="4"/>
  <c r="K337" i="4"/>
  <c r="J337" i="4"/>
  <c r="S89" i="4"/>
  <c r="G89" i="4"/>
  <c r="F89" i="4"/>
  <c r="O89" i="4"/>
  <c r="M89" i="4"/>
  <c r="N89" i="4"/>
  <c r="L89" i="4"/>
  <c r="K89" i="4"/>
  <c r="I89" i="4"/>
  <c r="J89" i="4"/>
  <c r="H89" i="4"/>
  <c r="E89" i="4"/>
  <c r="C89" i="4"/>
  <c r="B89" i="4"/>
  <c r="A89" i="4"/>
  <c r="A89" i="5" s="1"/>
  <c r="J305" i="4"/>
  <c r="S305" i="4"/>
  <c r="O305" i="4"/>
  <c r="I305" i="4"/>
  <c r="H305" i="4"/>
  <c r="A305" i="4"/>
  <c r="N305" i="4"/>
  <c r="M305" i="4"/>
  <c r="L305" i="4"/>
  <c r="K305" i="4"/>
  <c r="E305" i="4"/>
  <c r="C305" i="4"/>
  <c r="B305" i="4"/>
  <c r="G305" i="4"/>
  <c r="F305" i="4"/>
  <c r="B4" i="4"/>
  <c r="A4" i="4"/>
  <c r="A4" i="5" s="1"/>
  <c r="N4" i="4"/>
  <c r="M4" i="4"/>
  <c r="H4" i="4"/>
  <c r="G4" i="4"/>
  <c r="F4" i="4"/>
  <c r="J4" i="4"/>
  <c r="C4" i="4"/>
  <c r="S4" i="4"/>
  <c r="O4" i="4"/>
  <c r="I4" i="4"/>
  <c r="E4" i="4"/>
  <c r="L4" i="4"/>
  <c r="K4" i="4"/>
  <c r="S224" i="4"/>
  <c r="M224" i="4"/>
  <c r="L224" i="4"/>
  <c r="K224" i="4"/>
  <c r="J224" i="4"/>
  <c r="C224" i="4"/>
  <c r="B224" i="4"/>
  <c r="N224" i="4"/>
  <c r="I224" i="4"/>
  <c r="H224" i="4"/>
  <c r="G224" i="4"/>
  <c r="F224" i="4"/>
  <c r="E224" i="4"/>
  <c r="A224" i="4"/>
  <c r="O224" i="4"/>
  <c r="H41" i="4"/>
  <c r="G41" i="4"/>
  <c r="B41" i="4"/>
  <c r="C41" i="4"/>
  <c r="M41" i="4"/>
  <c r="L41" i="4"/>
  <c r="K41" i="4"/>
  <c r="I41" i="4"/>
  <c r="A41" i="4"/>
  <c r="A41" i="5" s="1"/>
  <c r="O41" i="4"/>
  <c r="F41" i="4"/>
  <c r="E41" i="4"/>
  <c r="S41" i="4"/>
  <c r="N41" i="4"/>
  <c r="J41" i="4"/>
  <c r="E227" i="4"/>
  <c r="G227" i="4"/>
  <c r="F227" i="4"/>
  <c r="O227" i="4"/>
  <c r="S227" i="4"/>
  <c r="N227" i="4"/>
  <c r="M227" i="4"/>
  <c r="L227" i="4"/>
  <c r="A227" i="4"/>
  <c r="I227" i="4"/>
  <c r="B227" i="4"/>
  <c r="H227" i="4"/>
  <c r="C227" i="4"/>
  <c r="K227" i="4"/>
  <c r="J227" i="4"/>
  <c r="O106" i="4"/>
  <c r="N106" i="4"/>
  <c r="M106" i="4"/>
  <c r="S106" i="4"/>
  <c r="L106" i="4"/>
  <c r="K106" i="4"/>
  <c r="C106" i="4"/>
  <c r="B106" i="4"/>
  <c r="A106" i="4"/>
  <c r="A106" i="5" s="1"/>
  <c r="J106" i="4"/>
  <c r="I106" i="4"/>
  <c r="E106" i="4"/>
  <c r="H106" i="4"/>
  <c r="G106" i="4"/>
  <c r="F106" i="4"/>
  <c r="A310" i="4"/>
  <c r="C310" i="4"/>
  <c r="M310" i="4"/>
  <c r="L310" i="4"/>
  <c r="S310" i="4"/>
  <c r="O310" i="4"/>
  <c r="N310" i="4"/>
  <c r="B310" i="4"/>
  <c r="I310" i="4"/>
  <c r="H310" i="4"/>
  <c r="G310" i="4"/>
  <c r="K310" i="4"/>
  <c r="J310" i="4"/>
  <c r="F310" i="4"/>
  <c r="E310" i="4"/>
  <c r="S45" i="4"/>
  <c r="O45" i="4"/>
  <c r="B45" i="4"/>
  <c r="A45" i="4"/>
  <c r="A45" i="5" s="1"/>
  <c r="H45" i="4"/>
  <c r="G45" i="4"/>
  <c r="C45" i="4"/>
  <c r="M45" i="4"/>
  <c r="K45" i="4"/>
  <c r="F45" i="4"/>
  <c r="E45" i="4"/>
  <c r="N45" i="4"/>
  <c r="I45" i="4"/>
  <c r="L45" i="4"/>
  <c r="J45" i="4"/>
  <c r="A319" i="4"/>
  <c r="K319" i="4"/>
  <c r="J319" i="4"/>
  <c r="I319" i="4"/>
  <c r="H319" i="4"/>
  <c r="G319" i="4"/>
  <c r="B319" i="4"/>
  <c r="E319" i="4"/>
  <c r="C319" i="4"/>
  <c r="O319" i="4"/>
  <c r="L319" i="4"/>
  <c r="F319" i="4"/>
  <c r="N319" i="4"/>
  <c r="M319" i="4"/>
  <c r="S319" i="4"/>
  <c r="B55" i="4"/>
  <c r="C55" i="4"/>
  <c r="S55" i="4"/>
  <c r="O55" i="4"/>
  <c r="H55" i="4"/>
  <c r="G55" i="4"/>
  <c r="F55" i="4"/>
  <c r="M55" i="4"/>
  <c r="J55" i="4"/>
  <c r="I55" i="4"/>
  <c r="E55" i="4"/>
  <c r="K55" i="4"/>
  <c r="N55" i="4"/>
  <c r="L55" i="4"/>
  <c r="A55" i="4"/>
  <c r="A55" i="5" s="1"/>
  <c r="E236" i="4"/>
  <c r="C236" i="4"/>
  <c r="B236" i="4"/>
  <c r="K236" i="4"/>
  <c r="I236" i="4"/>
  <c r="J236" i="4"/>
  <c r="N236" i="4"/>
  <c r="M236" i="4"/>
  <c r="F236" i="4"/>
  <c r="A236" i="4"/>
  <c r="O236" i="4"/>
  <c r="H236" i="4"/>
  <c r="G236" i="4"/>
  <c r="S236" i="4"/>
  <c r="L236" i="4"/>
  <c r="E312" i="4"/>
  <c r="I312" i="4"/>
  <c r="A312" i="4"/>
  <c r="H312" i="4"/>
  <c r="G312" i="4"/>
  <c r="K312" i="4"/>
  <c r="J312" i="4"/>
  <c r="N312" i="4"/>
  <c r="M312" i="4"/>
  <c r="L312" i="4"/>
  <c r="B312" i="4"/>
  <c r="S312" i="4"/>
  <c r="O312" i="4"/>
  <c r="F312" i="4"/>
  <c r="C312" i="4"/>
  <c r="C271" i="4"/>
  <c r="B271" i="4"/>
  <c r="K271" i="4"/>
  <c r="J271" i="4"/>
  <c r="S271" i="4"/>
  <c r="O271" i="4"/>
  <c r="A271" i="4"/>
  <c r="M271" i="4"/>
  <c r="H271" i="4"/>
  <c r="G271" i="4"/>
  <c r="L271" i="4"/>
  <c r="I271" i="4"/>
  <c r="N271" i="4"/>
  <c r="F271" i="4"/>
  <c r="E271" i="4"/>
  <c r="O268" i="4"/>
  <c r="N268" i="4"/>
  <c r="A268" i="4"/>
  <c r="G268" i="4"/>
  <c r="F268" i="4"/>
  <c r="E268" i="4"/>
  <c r="J268" i="4"/>
  <c r="I268" i="4"/>
  <c r="H268" i="4"/>
  <c r="S268" i="4"/>
  <c r="K268" i="4"/>
  <c r="C268" i="4"/>
  <c r="B268" i="4"/>
  <c r="M268" i="4"/>
  <c r="L268" i="4"/>
  <c r="A270" i="4"/>
  <c r="G270" i="4"/>
  <c r="F270" i="4"/>
  <c r="M270" i="4"/>
  <c r="K270" i="4"/>
  <c r="L270" i="4"/>
  <c r="S270" i="4"/>
  <c r="O270" i="4"/>
  <c r="C270" i="4"/>
  <c r="B270" i="4"/>
  <c r="N270" i="4"/>
  <c r="J270" i="4"/>
  <c r="I270" i="4"/>
  <c r="E270" i="4"/>
  <c r="H270" i="4"/>
  <c r="F6" i="4"/>
  <c r="E6" i="4"/>
  <c r="C6" i="4"/>
  <c r="B6" i="4"/>
  <c r="O6" i="4"/>
  <c r="K6" i="4"/>
  <c r="I6" i="4"/>
  <c r="A6" i="4"/>
  <c r="A6" i="5" s="1"/>
  <c r="N6" i="4"/>
  <c r="G6" i="4"/>
  <c r="M6" i="4"/>
  <c r="L6" i="4"/>
  <c r="J6" i="4"/>
  <c r="H6" i="4"/>
  <c r="S6" i="4"/>
  <c r="E245" i="4"/>
  <c r="A245" i="4"/>
  <c r="C245" i="4"/>
  <c r="B245" i="4"/>
  <c r="H245" i="4"/>
  <c r="G245" i="4"/>
  <c r="I245" i="4"/>
  <c r="F245" i="4"/>
  <c r="L245" i="4"/>
  <c r="K245" i="4"/>
  <c r="J245" i="4"/>
  <c r="N245" i="4"/>
  <c r="S245" i="4"/>
  <c r="O245" i="4"/>
  <c r="M245" i="4"/>
  <c r="O151" i="4"/>
  <c r="N151" i="4"/>
  <c r="G151" i="4"/>
  <c r="F151" i="4"/>
  <c r="C151" i="4"/>
  <c r="A151" i="4"/>
  <c r="A151" i="5" s="1"/>
  <c r="B151" i="4"/>
  <c r="H151" i="4"/>
  <c r="E151" i="4"/>
  <c r="L151" i="4"/>
  <c r="K151" i="4"/>
  <c r="J151" i="4"/>
  <c r="I151" i="4"/>
  <c r="S151" i="4"/>
  <c r="M151" i="4"/>
  <c r="I314" i="4"/>
  <c r="O314" i="4"/>
  <c r="J314" i="4"/>
  <c r="H314" i="4"/>
  <c r="C314" i="4"/>
  <c r="B314" i="4"/>
  <c r="N314" i="4"/>
  <c r="M314" i="4"/>
  <c r="L314" i="4"/>
  <c r="S314" i="4"/>
  <c r="K314" i="4"/>
  <c r="G314" i="4"/>
  <c r="F314" i="4"/>
  <c r="E314" i="4"/>
  <c r="A314" i="4"/>
  <c r="M316" i="4"/>
  <c r="B316" i="4"/>
  <c r="K316" i="4"/>
  <c r="J316" i="4"/>
  <c r="S316" i="4"/>
  <c r="O316" i="4"/>
  <c r="N316" i="4"/>
  <c r="L316" i="4"/>
  <c r="C316" i="4"/>
  <c r="A316" i="4"/>
  <c r="I316" i="4"/>
  <c r="H316" i="4"/>
  <c r="G316" i="4"/>
  <c r="F316" i="4"/>
  <c r="E316" i="4"/>
  <c r="S278" i="4"/>
  <c r="A278" i="4"/>
  <c r="C278" i="4"/>
  <c r="B278" i="4"/>
  <c r="L278" i="4"/>
  <c r="F278" i="4"/>
  <c r="K278" i="4"/>
  <c r="E278" i="4"/>
  <c r="J278" i="4"/>
  <c r="I278" i="4"/>
  <c r="H278" i="4"/>
  <c r="G278" i="4"/>
  <c r="N278" i="4"/>
  <c r="O278" i="4"/>
  <c r="M278" i="4"/>
  <c r="F15" i="4"/>
  <c r="E15" i="4"/>
  <c r="L15" i="4"/>
  <c r="K15" i="4"/>
  <c r="A15" i="4"/>
  <c r="A15" i="5" s="1"/>
  <c r="I15" i="4"/>
  <c r="C15" i="4"/>
  <c r="B15" i="4"/>
  <c r="S15" i="4"/>
  <c r="N15" i="4"/>
  <c r="G15" i="4"/>
  <c r="O15" i="4"/>
  <c r="M15" i="4"/>
  <c r="J15" i="4"/>
  <c r="H15" i="4"/>
  <c r="E92" i="4"/>
  <c r="M92" i="4"/>
  <c r="K92" i="4"/>
  <c r="L92" i="4"/>
  <c r="O92" i="4"/>
  <c r="J92" i="4"/>
  <c r="G92" i="4"/>
  <c r="F92" i="4"/>
  <c r="S92" i="4"/>
  <c r="I92" i="4"/>
  <c r="H92" i="4"/>
  <c r="N92" i="4"/>
  <c r="C92" i="4"/>
  <c r="B92" i="4"/>
  <c r="A92" i="4"/>
  <c r="A92" i="5" s="1"/>
  <c r="M78" i="4"/>
  <c r="C78" i="4"/>
  <c r="B78" i="4"/>
  <c r="K78" i="4"/>
  <c r="I78" i="4"/>
  <c r="J78" i="4"/>
  <c r="E78" i="4"/>
  <c r="S78" i="4"/>
  <c r="H78" i="4"/>
  <c r="F78" i="4"/>
  <c r="O78" i="4"/>
  <c r="A78" i="4"/>
  <c r="A78" i="5" s="1"/>
  <c r="N78" i="4"/>
  <c r="L78" i="4"/>
  <c r="G78" i="4"/>
  <c r="I229" i="4"/>
  <c r="H229" i="4"/>
  <c r="O229" i="4"/>
  <c r="N229" i="4"/>
  <c r="G229" i="4"/>
  <c r="E229" i="4"/>
  <c r="F229" i="4"/>
  <c r="S229" i="4"/>
  <c r="M229" i="4"/>
  <c r="L229" i="4"/>
  <c r="C229" i="4"/>
  <c r="B229" i="4"/>
  <c r="A229" i="4"/>
  <c r="K229" i="4"/>
  <c r="J229" i="4"/>
  <c r="L284" i="4"/>
  <c r="S284" i="4"/>
  <c r="J284" i="4"/>
  <c r="I284" i="4"/>
  <c r="O284" i="4"/>
  <c r="N284" i="4"/>
  <c r="C284" i="4"/>
  <c r="B284" i="4"/>
  <c r="A284" i="4"/>
  <c r="M284" i="4"/>
  <c r="K284" i="4"/>
  <c r="H284" i="4"/>
  <c r="G284" i="4"/>
  <c r="F284" i="4"/>
  <c r="E284" i="4"/>
  <c r="S299" i="4"/>
  <c r="O299" i="4"/>
  <c r="L299" i="4"/>
  <c r="J299" i="4"/>
  <c r="K299" i="4"/>
  <c r="C299" i="4"/>
  <c r="B299" i="4"/>
  <c r="N299" i="4"/>
  <c r="M299" i="4"/>
  <c r="I299" i="4"/>
  <c r="A299" i="4"/>
  <c r="E299" i="4"/>
  <c r="H299" i="4"/>
  <c r="G299" i="4"/>
  <c r="F299" i="4"/>
  <c r="S260" i="4"/>
  <c r="E260" i="4"/>
  <c r="M260" i="4"/>
  <c r="K260" i="4"/>
  <c r="L260" i="4"/>
  <c r="J260" i="4"/>
  <c r="I260" i="4"/>
  <c r="N260" i="4"/>
  <c r="H260" i="4"/>
  <c r="G260" i="4"/>
  <c r="C260" i="4"/>
  <c r="A260" i="4"/>
  <c r="O260" i="4"/>
  <c r="F260" i="4"/>
  <c r="B260" i="4"/>
  <c r="I332" i="4"/>
  <c r="M332" i="4"/>
  <c r="C332" i="4"/>
  <c r="F332" i="4"/>
  <c r="E332" i="4"/>
  <c r="B332" i="4"/>
  <c r="A332" i="4"/>
  <c r="N332" i="4"/>
  <c r="L332" i="4"/>
  <c r="K332" i="4"/>
  <c r="J332" i="4"/>
  <c r="H332" i="4"/>
  <c r="G332" i="4"/>
  <c r="S332" i="4"/>
  <c r="O332" i="4"/>
  <c r="O214" i="4"/>
  <c r="N214" i="4"/>
  <c r="K214" i="4"/>
  <c r="J214" i="4"/>
  <c r="H214" i="4"/>
  <c r="G214" i="4"/>
  <c r="I214" i="4"/>
  <c r="F214" i="4"/>
  <c r="E214" i="4"/>
  <c r="S214" i="4"/>
  <c r="M214" i="4"/>
  <c r="L214" i="4"/>
  <c r="C214" i="4"/>
  <c r="B214" i="4"/>
  <c r="A214" i="4"/>
  <c r="C244" i="4"/>
  <c r="B244" i="4"/>
  <c r="S244" i="4"/>
  <c r="O244" i="4"/>
  <c r="N244" i="4"/>
  <c r="M244" i="4"/>
  <c r="L244" i="4"/>
  <c r="I244" i="4"/>
  <c r="H244" i="4"/>
  <c r="K244" i="4"/>
  <c r="J244" i="4"/>
  <c r="G244" i="4"/>
  <c r="A244" i="4"/>
  <c r="F244" i="4"/>
  <c r="E244" i="4"/>
  <c r="K167" i="4"/>
  <c r="J167" i="4"/>
  <c r="O167" i="4"/>
  <c r="N167" i="4"/>
  <c r="C167" i="4"/>
  <c r="B167" i="4"/>
  <c r="A167" i="4"/>
  <c r="A167" i="5" s="1"/>
  <c r="S167" i="4"/>
  <c r="I167" i="4"/>
  <c r="H167" i="4"/>
  <c r="G167" i="4"/>
  <c r="M167" i="4"/>
  <c r="L167" i="4"/>
  <c r="F167" i="4"/>
  <c r="E167" i="4"/>
  <c r="J33" i="4"/>
  <c r="I33" i="4"/>
  <c r="L33" i="4"/>
  <c r="H33" i="4"/>
  <c r="K33" i="4"/>
  <c r="C33" i="4"/>
  <c r="B33" i="4"/>
  <c r="A33" i="4"/>
  <c r="A33" i="5" s="1"/>
  <c r="F33" i="4"/>
  <c r="S33" i="4"/>
  <c r="N33" i="4"/>
  <c r="E33" i="4"/>
  <c r="O33" i="4"/>
  <c r="M33" i="4"/>
  <c r="G33" i="4"/>
  <c r="S27" i="4"/>
  <c r="O27" i="4"/>
  <c r="F27" i="4"/>
  <c r="E27" i="4"/>
  <c r="C27" i="4"/>
  <c r="B27" i="4"/>
  <c r="N27" i="4"/>
  <c r="L27" i="4"/>
  <c r="A27" i="4"/>
  <c r="A27" i="5" s="1"/>
  <c r="K27" i="4"/>
  <c r="I27" i="4"/>
  <c r="J27" i="4"/>
  <c r="H27" i="4"/>
  <c r="G27" i="4"/>
  <c r="M27" i="4"/>
  <c r="E110" i="4"/>
  <c r="O110" i="4"/>
  <c r="N110" i="4"/>
  <c r="G110" i="4"/>
  <c r="F110" i="4"/>
  <c r="L110" i="4"/>
  <c r="B110" i="4"/>
  <c r="A110" i="4"/>
  <c r="A110" i="5" s="1"/>
  <c r="K110" i="4"/>
  <c r="C110" i="4"/>
  <c r="J110" i="4"/>
  <c r="H110" i="4"/>
  <c r="I110" i="4"/>
  <c r="S110" i="4"/>
  <c r="M110" i="4"/>
  <c r="N17" i="4"/>
  <c r="J17" i="4"/>
  <c r="H17" i="4"/>
  <c r="I17" i="4"/>
  <c r="A17" i="4"/>
  <c r="A17" i="5" s="1"/>
  <c r="O17" i="4"/>
  <c r="G17" i="4"/>
  <c r="E17" i="4"/>
  <c r="B17" i="4"/>
  <c r="M17" i="4"/>
  <c r="C17" i="4"/>
  <c r="L17" i="4"/>
  <c r="K17" i="4"/>
  <c r="F17" i="4"/>
  <c r="S17" i="4"/>
  <c r="S161" i="4"/>
  <c r="I161" i="4"/>
  <c r="H161" i="4"/>
  <c r="C161" i="4"/>
  <c r="A161" i="4"/>
  <c r="A161" i="5" s="1"/>
  <c r="B161" i="4"/>
  <c r="K161" i="4"/>
  <c r="J161" i="4"/>
  <c r="O161" i="4"/>
  <c r="L161" i="4"/>
  <c r="G161" i="4"/>
  <c r="N161" i="4"/>
  <c r="M161" i="4"/>
  <c r="F161" i="4"/>
  <c r="E161" i="4"/>
  <c r="C226" i="4"/>
  <c r="B226" i="4"/>
  <c r="A226" i="4"/>
  <c r="K226" i="4"/>
  <c r="I226" i="4"/>
  <c r="J226" i="4"/>
  <c r="H226" i="4"/>
  <c r="G226" i="4"/>
  <c r="S226" i="4"/>
  <c r="O226" i="4"/>
  <c r="N226" i="4"/>
  <c r="M226" i="4"/>
  <c r="L226" i="4"/>
  <c r="F226" i="4"/>
  <c r="E226" i="4"/>
  <c r="I341" i="4"/>
  <c r="B341" i="4"/>
  <c r="A341" i="4"/>
  <c r="F341" i="4"/>
  <c r="E341" i="4"/>
  <c r="M341" i="4"/>
  <c r="L341" i="4"/>
  <c r="K341" i="4"/>
  <c r="C341" i="4"/>
  <c r="S341" i="4"/>
  <c r="O341" i="4"/>
  <c r="N341" i="4"/>
  <c r="J341" i="4"/>
  <c r="H341" i="4"/>
  <c r="G341" i="4"/>
  <c r="M177" i="4"/>
  <c r="L177" i="4"/>
  <c r="S177" i="4"/>
  <c r="B177" i="4"/>
  <c r="A177" i="4"/>
  <c r="A177" i="5" s="1"/>
  <c r="O177" i="4"/>
  <c r="N177" i="4"/>
  <c r="K177" i="4"/>
  <c r="J177" i="4"/>
  <c r="I177" i="4"/>
  <c r="H177" i="4"/>
  <c r="G177" i="4"/>
  <c r="F177" i="4"/>
  <c r="E177" i="4"/>
  <c r="C177" i="4"/>
  <c r="H50" i="4"/>
  <c r="G50" i="4"/>
  <c r="B50" i="4"/>
  <c r="A50" i="4"/>
  <c r="A50" i="5" s="1"/>
  <c r="F50" i="4"/>
  <c r="E50" i="4"/>
  <c r="J50" i="4"/>
  <c r="I50" i="4"/>
  <c r="C50" i="4"/>
  <c r="L50" i="4"/>
  <c r="M50" i="4"/>
  <c r="S50" i="4"/>
  <c r="O50" i="4"/>
  <c r="N50" i="4"/>
  <c r="K50" i="4"/>
  <c r="C190" i="4"/>
  <c r="B190" i="4"/>
  <c r="K190" i="4"/>
  <c r="J190" i="4"/>
  <c r="O190" i="4"/>
  <c r="S190" i="4"/>
  <c r="I190" i="4"/>
  <c r="H190" i="4"/>
  <c r="A190" i="4"/>
  <c r="A190" i="5" s="1"/>
  <c r="F190" i="4"/>
  <c r="G190" i="4"/>
  <c r="N190" i="4"/>
  <c r="M190" i="4"/>
  <c r="L190" i="4"/>
  <c r="E190" i="4"/>
  <c r="I220" i="4"/>
  <c r="H220" i="4"/>
  <c r="S220" i="4"/>
  <c r="O220" i="4"/>
  <c r="M220" i="4"/>
  <c r="N220" i="4"/>
  <c r="E220" i="4"/>
  <c r="C220" i="4"/>
  <c r="B220" i="4"/>
  <c r="A220" i="4"/>
  <c r="L220" i="4"/>
  <c r="K220" i="4"/>
  <c r="J220" i="4"/>
  <c r="G220" i="4"/>
  <c r="F220" i="4"/>
  <c r="E339" i="4"/>
  <c r="O339" i="4"/>
  <c r="M339" i="4"/>
  <c r="L339" i="4"/>
  <c r="G339" i="4"/>
  <c r="F339" i="4"/>
  <c r="K339" i="4"/>
  <c r="J339" i="4"/>
  <c r="C339" i="4"/>
  <c r="B339" i="4"/>
  <c r="S339" i="4"/>
  <c r="N339" i="4"/>
  <c r="I339" i="4"/>
  <c r="H339" i="4"/>
  <c r="A339" i="4"/>
  <c r="A81" i="4"/>
  <c r="A81" i="5" s="1"/>
  <c r="M81" i="4"/>
  <c r="L81" i="4"/>
  <c r="G81" i="4"/>
  <c r="E81" i="4"/>
  <c r="F81" i="4"/>
  <c r="C81" i="4"/>
  <c r="S81" i="4"/>
  <c r="K81" i="4"/>
  <c r="J81" i="4"/>
  <c r="I81" i="4"/>
  <c r="B81" i="4"/>
  <c r="O81" i="4"/>
  <c r="N81" i="4"/>
  <c r="H81" i="4"/>
  <c r="M168" i="4"/>
  <c r="L168" i="4"/>
  <c r="E168" i="4"/>
  <c r="C168" i="4"/>
  <c r="H168" i="4"/>
  <c r="G168" i="4"/>
  <c r="I168" i="4"/>
  <c r="F168" i="4"/>
  <c r="B168" i="4"/>
  <c r="S168" i="4"/>
  <c r="O168" i="4"/>
  <c r="K168" i="4"/>
  <c r="N168" i="4"/>
  <c r="J168" i="4"/>
  <c r="A168" i="4"/>
  <c r="A168" i="5" s="1"/>
  <c r="H32" i="4"/>
  <c r="G32" i="4"/>
  <c r="F32" i="4"/>
  <c r="E32" i="4"/>
  <c r="S32" i="4"/>
  <c r="N32" i="4"/>
  <c r="M32" i="4"/>
  <c r="L32" i="4"/>
  <c r="O32" i="4"/>
  <c r="B32" i="4"/>
  <c r="C32" i="4"/>
  <c r="K32" i="4"/>
  <c r="J32" i="4"/>
  <c r="I32" i="4"/>
  <c r="A32" i="4"/>
  <c r="A32" i="5" s="1"/>
  <c r="S98" i="4"/>
  <c r="E98" i="4"/>
  <c r="I98" i="4"/>
  <c r="G98" i="4"/>
  <c r="H98" i="4"/>
  <c r="F98" i="4"/>
  <c r="C98" i="4"/>
  <c r="K98" i="4"/>
  <c r="J98" i="4"/>
  <c r="A98" i="4"/>
  <c r="A98" i="5" s="1"/>
  <c r="B98" i="4"/>
  <c r="M98" i="4"/>
  <c r="N98" i="4"/>
  <c r="O98" i="4"/>
  <c r="L98" i="4"/>
  <c r="J283" i="4"/>
  <c r="N283" i="4"/>
  <c r="M283" i="4"/>
  <c r="E283" i="4"/>
  <c r="S283" i="4"/>
  <c r="L283" i="4"/>
  <c r="O283" i="4"/>
  <c r="B283" i="4"/>
  <c r="A283" i="4"/>
  <c r="H283" i="4"/>
  <c r="G283" i="4"/>
  <c r="K283" i="4"/>
  <c r="I283" i="4"/>
  <c r="F283" i="4"/>
  <c r="C283" i="4"/>
  <c r="E119" i="4"/>
  <c r="M119" i="4"/>
  <c r="L119" i="4"/>
  <c r="O119" i="4"/>
  <c r="K119" i="4"/>
  <c r="N119" i="4"/>
  <c r="I119" i="4"/>
  <c r="H119" i="4"/>
  <c r="G119" i="4"/>
  <c r="S119" i="4"/>
  <c r="J119" i="4"/>
  <c r="F119" i="4"/>
  <c r="C119" i="4"/>
  <c r="B119" i="4"/>
  <c r="A119" i="4"/>
  <c r="A119" i="5" s="1"/>
  <c r="A300" i="4"/>
  <c r="E300" i="4"/>
  <c r="G300" i="4"/>
  <c r="F300" i="4"/>
  <c r="I300" i="4"/>
  <c r="H300" i="4"/>
  <c r="S300" i="4"/>
  <c r="L300" i="4"/>
  <c r="K300" i="4"/>
  <c r="J300" i="4"/>
  <c r="C300" i="4"/>
  <c r="N300" i="4"/>
  <c r="M300" i="4"/>
  <c r="B300" i="4"/>
  <c r="O300" i="4"/>
  <c r="G302" i="4"/>
  <c r="F302" i="4"/>
  <c r="O302" i="4"/>
  <c r="N302" i="4"/>
  <c r="H302" i="4"/>
  <c r="E302" i="4"/>
  <c r="S302" i="4"/>
  <c r="M302" i="4"/>
  <c r="A302" i="4"/>
  <c r="L302" i="4"/>
  <c r="K302" i="4"/>
  <c r="J302" i="4"/>
  <c r="I302" i="4"/>
  <c r="C302" i="4"/>
  <c r="B302" i="4"/>
  <c r="O277" i="4"/>
  <c r="N277" i="4"/>
  <c r="S277" i="4"/>
  <c r="M277" i="4"/>
  <c r="K277" i="4"/>
  <c r="L277" i="4"/>
  <c r="J277" i="4"/>
  <c r="I277" i="4"/>
  <c r="H277" i="4"/>
  <c r="G277" i="4"/>
  <c r="F277" i="4"/>
  <c r="E277" i="4"/>
  <c r="C277" i="4"/>
  <c r="B277" i="4"/>
  <c r="A277" i="4"/>
  <c r="G183" i="4"/>
  <c r="F183" i="4"/>
  <c r="A183" i="4"/>
  <c r="A183" i="5" s="1"/>
  <c r="O183" i="4"/>
  <c r="M183" i="4"/>
  <c r="N183" i="4"/>
  <c r="L183" i="4"/>
  <c r="K183" i="4"/>
  <c r="S183" i="4"/>
  <c r="J183" i="4"/>
  <c r="I183" i="4"/>
  <c r="C183" i="4"/>
  <c r="B183" i="4"/>
  <c r="H183" i="4"/>
  <c r="E183" i="4"/>
  <c r="C127" i="4"/>
  <c r="B127" i="4"/>
  <c r="G127" i="4"/>
  <c r="F127" i="4"/>
  <c r="I127" i="4"/>
  <c r="H127" i="4"/>
  <c r="S127" i="4"/>
  <c r="O127" i="4"/>
  <c r="N127" i="4"/>
  <c r="M127" i="4"/>
  <c r="L127" i="4"/>
  <c r="K127" i="4"/>
  <c r="J127" i="4"/>
  <c r="E127" i="4"/>
  <c r="A127" i="4"/>
  <c r="A127" i="5" s="1"/>
  <c r="O97" i="4"/>
  <c r="N97" i="4"/>
  <c r="A97" i="4"/>
  <c r="A97" i="5" s="1"/>
  <c r="C97" i="4"/>
  <c r="B97" i="4"/>
  <c r="G97" i="4"/>
  <c r="M97" i="4"/>
  <c r="L97" i="4"/>
  <c r="K97" i="4"/>
  <c r="I97" i="4"/>
  <c r="E97" i="4"/>
  <c r="F97" i="4"/>
  <c r="S97" i="4"/>
  <c r="J97" i="4"/>
  <c r="H97" i="4"/>
  <c r="I94" i="4"/>
  <c r="H94" i="4"/>
  <c r="G94" i="4"/>
  <c r="F94" i="4"/>
  <c r="C94" i="4"/>
  <c r="A94" i="4"/>
  <c r="A94" i="5" s="1"/>
  <c r="B94" i="4"/>
  <c r="S94" i="4"/>
  <c r="O94" i="4"/>
  <c r="M94" i="4"/>
  <c r="L94" i="4"/>
  <c r="K94" i="4"/>
  <c r="N94" i="4"/>
  <c r="J94" i="4"/>
  <c r="E94" i="4"/>
  <c r="C208" i="4"/>
  <c r="B208" i="4"/>
  <c r="G208" i="4"/>
  <c r="F208" i="4"/>
  <c r="A208" i="4"/>
  <c r="M208" i="4"/>
  <c r="L208" i="4"/>
  <c r="K208" i="4"/>
  <c r="J208" i="4"/>
  <c r="I208" i="4"/>
  <c r="H208" i="4"/>
  <c r="E208" i="4"/>
  <c r="S208" i="4"/>
  <c r="O208" i="4"/>
  <c r="N208" i="4"/>
  <c r="O169" i="4"/>
  <c r="N169" i="4"/>
  <c r="C169" i="4"/>
  <c r="B169" i="4"/>
  <c r="K169" i="4"/>
  <c r="I169" i="4"/>
  <c r="J169" i="4"/>
  <c r="F169" i="4"/>
  <c r="E169" i="4"/>
  <c r="A169" i="4"/>
  <c r="A169" i="5" s="1"/>
  <c r="S169" i="4"/>
  <c r="M169" i="4"/>
  <c r="L169" i="4"/>
  <c r="H169" i="4"/>
  <c r="G169" i="4"/>
  <c r="G93" i="4"/>
  <c r="F93" i="4"/>
  <c r="C93" i="4"/>
  <c r="B93" i="4"/>
  <c r="E93" i="4"/>
  <c r="J93" i="4"/>
  <c r="N93" i="4"/>
  <c r="M93" i="4"/>
  <c r="L93" i="4"/>
  <c r="I93" i="4"/>
  <c r="H93" i="4"/>
  <c r="A93" i="4"/>
  <c r="A93" i="5" s="1"/>
  <c r="S93" i="4"/>
  <c r="O93" i="4"/>
  <c r="K93" i="4"/>
  <c r="B65" i="4"/>
  <c r="A65" i="4"/>
  <c r="A65" i="5" s="1"/>
  <c r="F65" i="4"/>
  <c r="E65" i="4"/>
  <c r="C65" i="4"/>
  <c r="K65" i="4"/>
  <c r="S65" i="4"/>
  <c r="G65" i="4"/>
  <c r="O65" i="4"/>
  <c r="N65" i="4"/>
  <c r="M65" i="4"/>
  <c r="L65" i="4"/>
  <c r="J65" i="4"/>
  <c r="I65" i="4"/>
  <c r="H65" i="4"/>
  <c r="E146" i="4"/>
  <c r="G146" i="4"/>
  <c r="F146" i="4"/>
  <c r="O146" i="4"/>
  <c r="M146" i="4"/>
  <c r="N146" i="4"/>
  <c r="B146" i="4"/>
  <c r="A146" i="4"/>
  <c r="A146" i="5" s="1"/>
  <c r="H146" i="4"/>
  <c r="C146" i="4"/>
  <c r="I146" i="4"/>
  <c r="J146" i="4"/>
  <c r="S146" i="4"/>
  <c r="L146" i="4"/>
  <c r="K146" i="4"/>
  <c r="C320" i="4"/>
  <c r="N320" i="4"/>
  <c r="O320" i="4"/>
  <c r="M320" i="4"/>
  <c r="S320" i="4"/>
  <c r="H320" i="4"/>
  <c r="G320" i="4"/>
  <c r="L320" i="4"/>
  <c r="J320" i="4"/>
  <c r="K320" i="4"/>
  <c r="I320" i="4"/>
  <c r="F320" i="4"/>
  <c r="E320" i="4"/>
  <c r="B320" i="4"/>
  <c r="A320" i="4"/>
  <c r="L34" i="4"/>
  <c r="K34" i="4"/>
  <c r="S34" i="4"/>
  <c r="N34" i="4"/>
  <c r="O34" i="4"/>
  <c r="M34" i="4"/>
  <c r="J34" i="4"/>
  <c r="I34" i="4"/>
  <c r="A34" i="4"/>
  <c r="A34" i="5" s="1"/>
  <c r="H34" i="4"/>
  <c r="G34" i="4"/>
  <c r="F34" i="4"/>
  <c r="E34" i="4"/>
  <c r="C34" i="4"/>
  <c r="B34" i="4"/>
  <c r="S19" i="4"/>
  <c r="N19" i="4"/>
  <c r="O19" i="4"/>
  <c r="M19" i="4"/>
  <c r="L19" i="4"/>
  <c r="K19" i="4"/>
  <c r="J19" i="4"/>
  <c r="I19" i="4"/>
  <c r="A19" i="4"/>
  <c r="A19" i="5" s="1"/>
  <c r="B19" i="4"/>
  <c r="H19" i="4"/>
  <c r="G19" i="4"/>
  <c r="F19" i="4"/>
  <c r="E19" i="4"/>
  <c r="C19" i="4"/>
  <c r="G331" i="4"/>
  <c r="J331" i="4"/>
  <c r="L331" i="4"/>
  <c r="K331" i="4"/>
  <c r="I331" i="4"/>
  <c r="F331" i="4"/>
  <c r="H331" i="4"/>
  <c r="S331" i="4"/>
  <c r="E331" i="4"/>
  <c r="C331" i="4"/>
  <c r="O331" i="4"/>
  <c r="B331" i="4"/>
  <c r="A331" i="4"/>
  <c r="N331" i="4"/>
  <c r="M331" i="4"/>
  <c r="S188" i="4"/>
  <c r="C188" i="4"/>
  <c r="B188" i="4"/>
  <c r="E188" i="4"/>
  <c r="A188" i="4"/>
  <c r="A188" i="5" s="1"/>
  <c r="N188" i="4"/>
  <c r="M188" i="4"/>
  <c r="L188" i="4"/>
  <c r="I188" i="4"/>
  <c r="H188" i="4"/>
  <c r="G188" i="4"/>
  <c r="K188" i="4"/>
  <c r="J188" i="4"/>
  <c r="O188" i="4"/>
  <c r="F188" i="4"/>
  <c r="I309" i="4"/>
  <c r="H309" i="4"/>
  <c r="K309" i="4"/>
  <c r="J309" i="4"/>
  <c r="E309" i="4"/>
  <c r="O309" i="4"/>
  <c r="S309" i="4"/>
  <c r="B309" i="4"/>
  <c r="A309" i="4"/>
  <c r="F309" i="4"/>
  <c r="C309" i="4"/>
  <c r="L309" i="4"/>
  <c r="M309" i="4"/>
  <c r="N309" i="4"/>
  <c r="G309" i="4"/>
  <c r="J291" i="4"/>
  <c r="B291" i="4"/>
  <c r="A291" i="4"/>
  <c r="H291" i="4"/>
  <c r="G291" i="4"/>
  <c r="K291" i="4"/>
  <c r="F291" i="4"/>
  <c r="I291" i="4"/>
  <c r="S291" i="4"/>
  <c r="E291" i="4"/>
  <c r="C291" i="4"/>
  <c r="O291" i="4"/>
  <c r="N291" i="4"/>
  <c r="M291" i="4"/>
  <c r="L291" i="4"/>
  <c r="C91" i="4"/>
  <c r="B91" i="4"/>
  <c r="O91" i="4"/>
  <c r="N91" i="4"/>
  <c r="G91" i="4"/>
  <c r="E91" i="4"/>
  <c r="F91" i="4"/>
  <c r="J91" i="4"/>
  <c r="I91" i="4"/>
  <c r="K91" i="4"/>
  <c r="S91" i="4"/>
  <c r="M91" i="4"/>
  <c r="L91" i="4"/>
  <c r="A91" i="4"/>
  <c r="A91" i="5" s="1"/>
  <c r="H91" i="4"/>
  <c r="A261" i="4"/>
  <c r="I261" i="4"/>
  <c r="H261" i="4"/>
  <c r="K261" i="4"/>
  <c r="J261" i="4"/>
  <c r="G261" i="4"/>
  <c r="F261" i="4"/>
  <c r="C261" i="4"/>
  <c r="B261" i="4"/>
  <c r="S261" i="4"/>
  <c r="E261" i="4"/>
  <c r="L261" i="4"/>
  <c r="O261" i="4"/>
  <c r="N261" i="4"/>
  <c r="M261" i="4"/>
  <c r="K275" i="4"/>
  <c r="J275" i="4"/>
  <c r="G275" i="4"/>
  <c r="F275" i="4"/>
  <c r="A275" i="4"/>
  <c r="S275" i="4"/>
  <c r="O275" i="4"/>
  <c r="N275" i="4"/>
  <c r="H275" i="4"/>
  <c r="E275" i="4"/>
  <c r="C275" i="4"/>
  <c r="B275" i="4"/>
  <c r="M275" i="4"/>
  <c r="L275" i="4"/>
  <c r="I275" i="4"/>
  <c r="M240" i="4"/>
  <c r="L240" i="4"/>
  <c r="A240" i="4"/>
  <c r="O240" i="4"/>
  <c r="K240" i="4"/>
  <c r="N240" i="4"/>
  <c r="C240" i="4"/>
  <c r="S240" i="4"/>
  <c r="J240" i="4"/>
  <c r="I240" i="4"/>
  <c r="H240" i="4"/>
  <c r="E240" i="4"/>
  <c r="B240" i="4"/>
  <c r="G240" i="4"/>
  <c r="F240" i="4"/>
  <c r="M141" i="4"/>
  <c r="L141" i="4"/>
  <c r="E141" i="4"/>
  <c r="C141" i="4"/>
  <c r="A141" i="4"/>
  <c r="A141" i="5" s="1"/>
  <c r="B141" i="4"/>
  <c r="J141" i="4"/>
  <c r="I141" i="4"/>
  <c r="H141" i="4"/>
  <c r="O141" i="4"/>
  <c r="N141" i="4"/>
  <c r="K141" i="4"/>
  <c r="S141" i="4"/>
  <c r="G141" i="4"/>
  <c r="F141" i="4"/>
  <c r="S308" i="4"/>
  <c r="F308" i="4"/>
  <c r="E308" i="4"/>
  <c r="C308" i="4"/>
  <c r="H308" i="4"/>
  <c r="B308" i="4"/>
  <c r="G308" i="4"/>
  <c r="K308" i="4"/>
  <c r="J308" i="4"/>
  <c r="I308" i="4"/>
  <c r="A308" i="4"/>
  <c r="O308" i="4"/>
  <c r="N308" i="4"/>
  <c r="M308" i="4"/>
  <c r="L308" i="4"/>
  <c r="G255" i="4"/>
  <c r="F255" i="4"/>
  <c r="C255" i="4"/>
  <c r="B255" i="4"/>
  <c r="A255" i="4"/>
  <c r="K255" i="4"/>
  <c r="J255" i="4"/>
  <c r="H255" i="4"/>
  <c r="E255" i="4"/>
  <c r="S255" i="4"/>
  <c r="O255" i="4"/>
  <c r="N255" i="4"/>
  <c r="M255" i="4"/>
  <c r="L255" i="4"/>
  <c r="I255" i="4"/>
  <c r="M267" i="4"/>
  <c r="L267" i="4"/>
  <c r="O267" i="4"/>
  <c r="N267" i="4"/>
  <c r="K267" i="4"/>
  <c r="S267" i="4"/>
  <c r="G267" i="4"/>
  <c r="F267" i="4"/>
  <c r="B267" i="4"/>
  <c r="A267" i="4"/>
  <c r="J267" i="4"/>
  <c r="I267" i="4"/>
  <c r="H267" i="4"/>
  <c r="E267" i="4"/>
  <c r="C267" i="4"/>
  <c r="G129" i="4"/>
  <c r="F129" i="4"/>
  <c r="O129" i="4"/>
  <c r="N129" i="4"/>
  <c r="M129" i="4"/>
  <c r="K129" i="4"/>
  <c r="L129" i="4"/>
  <c r="B129" i="4"/>
  <c r="A129" i="4"/>
  <c r="A129" i="5" s="1"/>
  <c r="S129" i="4"/>
  <c r="C129" i="4"/>
  <c r="H129" i="4"/>
  <c r="I129" i="4"/>
  <c r="J129" i="4"/>
  <c r="E129" i="4"/>
  <c r="S170" i="4"/>
  <c r="G170" i="4"/>
  <c r="F170" i="4"/>
  <c r="O170" i="4"/>
  <c r="C170" i="4"/>
  <c r="B170" i="4"/>
  <c r="H170" i="4"/>
  <c r="E170" i="4"/>
  <c r="N170" i="4"/>
  <c r="K170" i="4"/>
  <c r="J170" i="4"/>
  <c r="M170" i="4"/>
  <c r="L170" i="4"/>
  <c r="I170" i="4"/>
  <c r="A170" i="4"/>
  <c r="A170" i="5" s="1"/>
  <c r="K257" i="4"/>
  <c r="J257" i="4"/>
  <c r="M257" i="4"/>
  <c r="L257" i="4"/>
  <c r="O257" i="4"/>
  <c r="S257" i="4"/>
  <c r="C257" i="4"/>
  <c r="B257" i="4"/>
  <c r="A257" i="4"/>
  <c r="F257" i="4"/>
  <c r="E257" i="4"/>
  <c r="N257" i="4"/>
  <c r="I257" i="4"/>
  <c r="H257" i="4"/>
  <c r="G257" i="4"/>
  <c r="O160" i="4"/>
  <c r="N160" i="4"/>
  <c r="E160" i="4"/>
  <c r="K160" i="4"/>
  <c r="J160" i="4"/>
  <c r="I160" i="4"/>
  <c r="C160" i="4"/>
  <c r="B160" i="4"/>
  <c r="A160" i="4"/>
  <c r="A160" i="5" s="1"/>
  <c r="G160" i="4"/>
  <c r="F160" i="4"/>
  <c r="S160" i="4"/>
  <c r="M160" i="4"/>
  <c r="L160" i="4"/>
  <c r="H160" i="4"/>
  <c r="M325" i="4"/>
  <c r="J325" i="4"/>
  <c r="S325" i="4"/>
  <c r="O325" i="4"/>
  <c r="C325" i="4"/>
  <c r="F325" i="4"/>
  <c r="E325" i="4"/>
  <c r="K325" i="4"/>
  <c r="I325" i="4"/>
  <c r="H325" i="4"/>
  <c r="A325" i="4"/>
  <c r="N325" i="4"/>
  <c r="L325" i="4"/>
  <c r="G325" i="4"/>
  <c r="B325" i="4"/>
  <c r="L25" i="4"/>
  <c r="K25" i="4"/>
  <c r="S25" i="4"/>
  <c r="J25" i="4"/>
  <c r="I25" i="4"/>
  <c r="M25" i="4"/>
  <c r="H25" i="4"/>
  <c r="E25" i="4"/>
  <c r="C25" i="4"/>
  <c r="A25" i="4"/>
  <c r="A25" i="5" s="1"/>
  <c r="G25" i="4"/>
  <c r="F25" i="4"/>
  <c r="B25" i="4"/>
  <c r="O25" i="4"/>
  <c r="N25" i="4"/>
  <c r="A135" i="4"/>
  <c r="A135" i="5" s="1"/>
  <c r="I135" i="4"/>
  <c r="G135" i="4"/>
  <c r="H135" i="4"/>
  <c r="O135" i="4"/>
  <c r="N135" i="4"/>
  <c r="L135" i="4"/>
  <c r="K135" i="4"/>
  <c r="J135" i="4"/>
  <c r="B135" i="4"/>
  <c r="S135" i="4"/>
  <c r="M135" i="4"/>
  <c r="F135" i="4"/>
  <c r="E135" i="4"/>
  <c r="C135" i="4"/>
  <c r="M114" i="4"/>
  <c r="L114" i="4"/>
  <c r="K114" i="4"/>
  <c r="J114" i="4"/>
  <c r="C114" i="4"/>
  <c r="A114" i="4"/>
  <c r="A114" i="5" s="1"/>
  <c r="B114" i="4"/>
  <c r="I114" i="4"/>
  <c r="G114" i="4"/>
  <c r="E114" i="4"/>
  <c r="S114" i="4"/>
  <c r="H114" i="4"/>
  <c r="F114" i="4"/>
  <c r="O114" i="4"/>
  <c r="N114" i="4"/>
  <c r="M204" i="4"/>
  <c r="L204" i="4"/>
  <c r="I204" i="4"/>
  <c r="H204" i="4"/>
  <c r="E204" i="4"/>
  <c r="S204" i="4"/>
  <c r="O204" i="4"/>
  <c r="N204" i="4"/>
  <c r="A204" i="4"/>
  <c r="K204" i="4"/>
  <c r="C204" i="4"/>
  <c r="J204" i="4"/>
  <c r="G204" i="4"/>
  <c r="F204" i="4"/>
  <c r="B204" i="4"/>
  <c r="B288" i="4"/>
  <c r="J288" i="4"/>
  <c r="I288" i="4"/>
  <c r="L288" i="4"/>
  <c r="K288" i="4"/>
  <c r="F288" i="4"/>
  <c r="E288" i="4"/>
  <c r="M288" i="4"/>
  <c r="H288" i="4"/>
  <c r="G288" i="4"/>
  <c r="C288" i="4"/>
  <c r="A288" i="4"/>
  <c r="O288" i="4"/>
  <c r="S288" i="4"/>
  <c r="N288" i="4"/>
  <c r="E182" i="4"/>
  <c r="S182" i="4"/>
  <c r="I182" i="4"/>
  <c r="G182" i="4"/>
  <c r="H182" i="4"/>
  <c r="A182" i="4"/>
  <c r="A182" i="5" s="1"/>
  <c r="O182" i="4"/>
  <c r="N182" i="4"/>
  <c r="M182" i="4"/>
  <c r="J182" i="4"/>
  <c r="F182" i="4"/>
  <c r="C182" i="4"/>
  <c r="L182" i="4"/>
  <c r="K182" i="4"/>
  <c r="B182" i="4"/>
  <c r="C154" i="4"/>
  <c r="B154" i="4"/>
  <c r="A154" i="4"/>
  <c r="A154" i="5" s="1"/>
  <c r="L154" i="4"/>
  <c r="K154" i="4"/>
  <c r="O154" i="4"/>
  <c r="N154" i="4"/>
  <c r="M154" i="4"/>
  <c r="F154" i="4"/>
  <c r="E154" i="4"/>
  <c r="H154" i="4"/>
  <c r="I154" i="4"/>
  <c r="S154" i="4"/>
  <c r="J154" i="4"/>
  <c r="G154" i="4"/>
  <c r="G273" i="4"/>
  <c r="F273" i="4"/>
  <c r="K273" i="4"/>
  <c r="I273" i="4"/>
  <c r="J273" i="4"/>
  <c r="S273" i="4"/>
  <c r="O273" i="4"/>
  <c r="C273" i="4"/>
  <c r="B273" i="4"/>
  <c r="A273" i="4"/>
  <c r="N273" i="4"/>
  <c r="M273" i="4"/>
  <c r="L273" i="4"/>
  <c r="H273" i="4"/>
  <c r="E273" i="4"/>
  <c r="G102" i="4"/>
  <c r="F102" i="4"/>
  <c r="A102" i="4"/>
  <c r="A102" i="5" s="1"/>
  <c r="M102" i="4"/>
  <c r="K102" i="4"/>
  <c r="L102" i="4"/>
  <c r="B102" i="4"/>
  <c r="I102" i="4"/>
  <c r="C102" i="4"/>
  <c r="E102" i="4"/>
  <c r="S102" i="4"/>
  <c r="O102" i="4"/>
  <c r="N102" i="4"/>
  <c r="J102" i="4"/>
  <c r="H102" i="4"/>
  <c r="G147" i="4"/>
  <c r="F147" i="4"/>
  <c r="K147" i="4"/>
  <c r="J147" i="4"/>
  <c r="O147" i="4"/>
  <c r="N147" i="4"/>
  <c r="C147" i="4"/>
  <c r="B147" i="4"/>
  <c r="M147" i="4"/>
  <c r="H147" i="4"/>
  <c r="E147" i="4"/>
  <c r="A147" i="4"/>
  <c r="A147" i="5" s="1"/>
  <c r="L147" i="4"/>
  <c r="I147" i="4"/>
  <c r="S147" i="4"/>
  <c r="A225" i="4"/>
  <c r="S225" i="4"/>
  <c r="E225" i="4"/>
  <c r="C225" i="4"/>
  <c r="O225" i="4"/>
  <c r="N225" i="4"/>
  <c r="M225" i="4"/>
  <c r="I225" i="4"/>
  <c r="B225" i="4"/>
  <c r="H225" i="4"/>
  <c r="F225" i="4"/>
  <c r="G225" i="4"/>
  <c r="K225" i="4"/>
  <c r="L225" i="4"/>
  <c r="J225" i="4"/>
  <c r="C48" i="4"/>
  <c r="N48" i="4"/>
  <c r="L48" i="4"/>
  <c r="M48" i="4"/>
  <c r="H48" i="4"/>
  <c r="G48" i="4"/>
  <c r="J48" i="4"/>
  <c r="I48" i="4"/>
  <c r="F48" i="4"/>
  <c r="B48" i="4"/>
  <c r="A48" i="4"/>
  <c r="A48" i="5" s="1"/>
  <c r="S48" i="4"/>
  <c r="O48" i="4"/>
  <c r="K48" i="4"/>
  <c r="E48" i="4"/>
  <c r="I67" i="4"/>
  <c r="G67" i="4"/>
  <c r="F67" i="4"/>
  <c r="S67" i="4"/>
  <c r="N67" i="4"/>
  <c r="O67" i="4"/>
  <c r="E67" i="4"/>
  <c r="H67" i="4"/>
  <c r="A67" i="4"/>
  <c r="A67" i="5" s="1"/>
  <c r="B67" i="4"/>
  <c r="C67" i="4"/>
  <c r="M67" i="4"/>
  <c r="L67" i="4"/>
  <c r="K67" i="4"/>
  <c r="J67" i="4"/>
  <c r="M258" i="4"/>
  <c r="L258" i="4"/>
  <c r="S258" i="4"/>
  <c r="A258" i="4"/>
  <c r="O258" i="4"/>
  <c r="N258" i="4"/>
  <c r="J258" i="4"/>
  <c r="I258" i="4"/>
  <c r="H258" i="4"/>
  <c r="C258" i="4"/>
  <c r="B258" i="4"/>
  <c r="K258" i="4"/>
  <c r="G258" i="4"/>
  <c r="F258" i="4"/>
  <c r="E258" i="4"/>
  <c r="F40" i="4"/>
  <c r="E40" i="4"/>
  <c r="N40" i="4"/>
  <c r="M40" i="4"/>
  <c r="B40" i="4"/>
  <c r="A40" i="4"/>
  <c r="A40" i="5" s="1"/>
  <c r="S40" i="4"/>
  <c r="O40" i="4"/>
  <c r="C40" i="4"/>
  <c r="L40" i="4"/>
  <c r="K40" i="4"/>
  <c r="J40" i="4"/>
  <c r="I40" i="4"/>
  <c r="H40" i="4"/>
  <c r="G40" i="4"/>
  <c r="H318" i="4"/>
  <c r="F318" i="4"/>
  <c r="E318" i="4"/>
  <c r="B318" i="4"/>
  <c r="A318" i="4"/>
  <c r="O318" i="4"/>
  <c r="N318" i="4"/>
  <c r="M318" i="4"/>
  <c r="S318" i="4"/>
  <c r="I318" i="4"/>
  <c r="G318" i="4"/>
  <c r="C318" i="4"/>
  <c r="L318" i="4"/>
  <c r="K318" i="4"/>
  <c r="J318" i="4"/>
  <c r="S233" i="4"/>
  <c r="K233" i="4"/>
  <c r="J233" i="4"/>
  <c r="M233" i="4"/>
  <c r="I233" i="4"/>
  <c r="L233" i="4"/>
  <c r="E233" i="4"/>
  <c r="O233" i="4"/>
  <c r="N233" i="4"/>
  <c r="H233" i="4"/>
  <c r="G233" i="4"/>
  <c r="B233" i="4"/>
  <c r="A233" i="4"/>
  <c r="F233" i="4"/>
  <c r="C233" i="4"/>
  <c r="B5" i="4"/>
  <c r="C5" i="4"/>
  <c r="O5" i="4"/>
  <c r="N5" i="4"/>
  <c r="M5" i="4"/>
  <c r="E5" i="4"/>
  <c r="S5" i="4"/>
  <c r="A5" i="4"/>
  <c r="A5" i="5" s="1"/>
  <c r="J5" i="4"/>
  <c r="L5" i="4"/>
  <c r="I5" i="4"/>
  <c r="H5" i="4"/>
  <c r="G5" i="4"/>
  <c r="F5" i="4"/>
  <c r="K5" i="4"/>
  <c r="E200" i="4"/>
  <c r="M200" i="4"/>
  <c r="L200" i="4"/>
  <c r="O200" i="4"/>
  <c r="S200" i="4"/>
  <c r="N200" i="4"/>
  <c r="K200" i="4"/>
  <c r="H200" i="4"/>
  <c r="C200" i="4"/>
  <c r="B200" i="4"/>
  <c r="G200" i="4"/>
  <c r="F200" i="4"/>
  <c r="J200" i="4"/>
  <c r="I200" i="4"/>
  <c r="A200" i="4"/>
  <c r="A200" i="5" s="1"/>
  <c r="L52" i="4"/>
  <c r="K52" i="4"/>
  <c r="J52" i="4"/>
  <c r="H52" i="4"/>
  <c r="I52" i="4"/>
  <c r="A52" i="4"/>
  <c r="A52" i="5" s="1"/>
  <c r="F52" i="4"/>
  <c r="B52" i="4"/>
  <c r="E52" i="4"/>
  <c r="C52" i="4"/>
  <c r="S52" i="4"/>
  <c r="O52" i="4"/>
  <c r="N52" i="4"/>
  <c r="M52" i="4"/>
  <c r="G52" i="4"/>
  <c r="G219" i="4"/>
  <c r="F219" i="4"/>
  <c r="M219" i="4"/>
  <c r="L219" i="4"/>
  <c r="I219" i="4"/>
  <c r="E219" i="4"/>
  <c r="H219" i="4"/>
  <c r="N219" i="4"/>
  <c r="K219" i="4"/>
  <c r="S219" i="4"/>
  <c r="O219" i="4"/>
  <c r="C219" i="4"/>
  <c r="B219" i="4"/>
  <c r="A219" i="4"/>
  <c r="J219" i="4"/>
  <c r="B64" i="4"/>
  <c r="A64" i="4"/>
  <c r="A64" i="5" s="1"/>
  <c r="S64" i="4"/>
  <c r="H64" i="4"/>
  <c r="G64" i="4"/>
  <c r="F64" i="4"/>
  <c r="J64" i="4"/>
  <c r="C64" i="4"/>
  <c r="O64" i="4"/>
  <c r="E64" i="4"/>
  <c r="N64" i="4"/>
  <c r="M64" i="4"/>
  <c r="L64" i="4"/>
  <c r="K64" i="4"/>
  <c r="I64" i="4"/>
  <c r="C199" i="4"/>
  <c r="B199" i="4"/>
  <c r="I199" i="4"/>
  <c r="H199" i="4"/>
  <c r="K199" i="4"/>
  <c r="G199" i="4"/>
  <c r="J199" i="4"/>
  <c r="A199" i="4"/>
  <c r="A199" i="5" s="1"/>
  <c r="L199" i="4"/>
  <c r="F199" i="4"/>
  <c r="E199" i="4"/>
  <c r="M199" i="4"/>
  <c r="S199" i="4"/>
  <c r="O199" i="4"/>
  <c r="N199" i="4"/>
  <c r="C235" i="4"/>
  <c r="B235" i="4"/>
  <c r="E235" i="4"/>
  <c r="A235" i="4"/>
  <c r="L235" i="4"/>
  <c r="K235" i="4"/>
  <c r="J235" i="4"/>
  <c r="S235" i="4"/>
  <c r="O235" i="4"/>
  <c r="M235" i="4"/>
  <c r="I235" i="4"/>
  <c r="N235" i="4"/>
  <c r="H235" i="4"/>
  <c r="G235" i="4"/>
  <c r="F235" i="4"/>
  <c r="G66" i="4"/>
  <c r="C66" i="4"/>
  <c r="K66" i="4"/>
  <c r="I66" i="4"/>
  <c r="J66" i="4"/>
  <c r="N66" i="4"/>
  <c r="M66" i="4"/>
  <c r="B66" i="4"/>
  <c r="A66" i="4"/>
  <c r="A66" i="5" s="1"/>
  <c r="O66" i="4"/>
  <c r="F66" i="4"/>
  <c r="E66" i="4"/>
  <c r="H66" i="4"/>
  <c r="S66" i="4"/>
  <c r="L66" i="4"/>
  <c r="K140" i="4"/>
  <c r="J140" i="4"/>
  <c r="A140" i="4"/>
  <c r="A140" i="5" s="1"/>
  <c r="S140" i="4"/>
  <c r="O140" i="4"/>
  <c r="G140" i="4"/>
  <c r="C140" i="4"/>
  <c r="F140" i="4"/>
  <c r="E140" i="4"/>
  <c r="B140" i="4"/>
  <c r="N140" i="4"/>
  <c r="M140" i="4"/>
  <c r="L140" i="4"/>
  <c r="I140" i="4"/>
  <c r="H140" i="4"/>
  <c r="O133" i="4"/>
  <c r="N133" i="4"/>
  <c r="K133" i="4"/>
  <c r="J133" i="4"/>
  <c r="L133" i="4"/>
  <c r="I133" i="4"/>
  <c r="H133" i="4"/>
  <c r="S133" i="4"/>
  <c r="F133" i="4"/>
  <c r="E133" i="4"/>
  <c r="M133" i="4"/>
  <c r="G133" i="4"/>
  <c r="C133" i="4"/>
  <c r="B133" i="4"/>
  <c r="A133" i="4"/>
  <c r="A133" i="5" s="1"/>
  <c r="M105" i="4"/>
  <c r="L105" i="4"/>
  <c r="O105" i="4"/>
  <c r="N105" i="4"/>
  <c r="I105" i="4"/>
  <c r="G105" i="4"/>
  <c r="H105" i="4"/>
  <c r="C105" i="4"/>
  <c r="B105" i="4"/>
  <c r="K105" i="4"/>
  <c r="J105" i="4"/>
  <c r="E105" i="4"/>
  <c r="F105" i="4"/>
  <c r="A105" i="4"/>
  <c r="A105" i="5" s="1"/>
  <c r="S105" i="4"/>
  <c r="C118" i="4"/>
  <c r="B118" i="4"/>
  <c r="I118" i="4"/>
  <c r="H118" i="4"/>
  <c r="G118" i="4"/>
  <c r="E118" i="4"/>
  <c r="F118" i="4"/>
  <c r="O118" i="4"/>
  <c r="N118" i="4"/>
  <c r="J118" i="4"/>
  <c r="A118" i="4"/>
  <c r="A118" i="5" s="1"/>
  <c r="M118" i="4"/>
  <c r="L118" i="4"/>
  <c r="K118" i="4"/>
  <c r="S118" i="4"/>
  <c r="B292" i="4"/>
  <c r="M292" i="4"/>
  <c r="F292" i="4"/>
  <c r="E292" i="4"/>
  <c r="O292" i="4"/>
  <c r="N292" i="4"/>
  <c r="G292" i="4"/>
  <c r="H292" i="4"/>
  <c r="C292" i="4"/>
  <c r="A292" i="4"/>
  <c r="K292" i="4"/>
  <c r="J292" i="4"/>
  <c r="I292" i="4"/>
  <c r="S292" i="4"/>
  <c r="L292" i="4"/>
  <c r="S36" i="4"/>
  <c r="O36" i="4"/>
  <c r="B36" i="4"/>
  <c r="C36" i="4"/>
  <c r="G36" i="4"/>
  <c r="F36" i="4"/>
  <c r="K36" i="4"/>
  <c r="J36" i="4"/>
  <c r="I36" i="4"/>
  <c r="N36" i="4"/>
  <c r="M36" i="4"/>
  <c r="L36" i="4"/>
  <c r="H36" i="4"/>
  <c r="E36" i="4"/>
  <c r="A36" i="4"/>
  <c r="A36" i="5" s="1"/>
  <c r="E218" i="4"/>
  <c r="I218" i="4"/>
  <c r="H218" i="4"/>
  <c r="A218" i="4"/>
  <c r="J218" i="4"/>
  <c r="G218" i="4"/>
  <c r="F218" i="4"/>
  <c r="M218" i="4"/>
  <c r="C218" i="4"/>
  <c r="B218" i="4"/>
  <c r="L218" i="4"/>
  <c r="K218" i="4"/>
  <c r="S218" i="4"/>
  <c r="O218" i="4"/>
  <c r="N218" i="4"/>
  <c r="B56" i="4"/>
  <c r="A56" i="4"/>
  <c r="A56" i="5" s="1"/>
  <c r="H56" i="4"/>
  <c r="F56" i="4"/>
  <c r="G56" i="4"/>
  <c r="S56" i="4"/>
  <c r="O56" i="4"/>
  <c r="J56" i="4"/>
  <c r="C56" i="4"/>
  <c r="I56" i="4"/>
  <c r="E56" i="4"/>
  <c r="L56" i="4"/>
  <c r="M56" i="4"/>
  <c r="N56" i="4"/>
  <c r="K56" i="4"/>
  <c r="C338" i="4"/>
  <c r="L338" i="4"/>
  <c r="I338" i="4"/>
  <c r="H338" i="4"/>
  <c r="B338" i="4"/>
  <c r="A338" i="4"/>
  <c r="N338" i="4"/>
  <c r="K338" i="4"/>
  <c r="M338" i="4"/>
  <c r="J338" i="4"/>
  <c r="G338" i="4"/>
  <c r="F338" i="4"/>
  <c r="S338" i="4"/>
  <c r="O338" i="4"/>
  <c r="E338" i="4"/>
  <c r="I76" i="4"/>
  <c r="S76" i="4"/>
  <c r="O76" i="4"/>
  <c r="A76" i="4"/>
  <c r="A76" i="5" s="1"/>
  <c r="G76" i="4"/>
  <c r="F76" i="4"/>
  <c r="H76" i="4"/>
  <c r="L76" i="4"/>
  <c r="B76" i="4"/>
  <c r="K76" i="4"/>
  <c r="E76" i="4"/>
  <c r="J76" i="4"/>
  <c r="C76" i="4"/>
  <c r="N76" i="4"/>
  <c r="M76" i="4"/>
  <c r="G120" i="4"/>
  <c r="F120" i="4"/>
  <c r="S120" i="4"/>
  <c r="J120" i="4"/>
  <c r="I120" i="4"/>
  <c r="E120" i="4"/>
  <c r="C120" i="4"/>
  <c r="O120" i="4"/>
  <c r="N120" i="4"/>
  <c r="M120" i="4"/>
  <c r="H120" i="4"/>
  <c r="A120" i="4"/>
  <c r="A120" i="5" s="1"/>
  <c r="K120" i="4"/>
  <c r="L120" i="4"/>
  <c r="B120" i="4"/>
  <c r="G111" i="4"/>
  <c r="F111" i="4"/>
  <c r="E111" i="4"/>
  <c r="C111" i="4"/>
  <c r="S111" i="4"/>
  <c r="O111" i="4"/>
  <c r="N111" i="4"/>
  <c r="L111" i="4"/>
  <c r="K111" i="4"/>
  <c r="J111" i="4"/>
  <c r="M111" i="4"/>
  <c r="I111" i="4"/>
  <c r="H111" i="4"/>
  <c r="B111" i="4"/>
  <c r="A111" i="4"/>
  <c r="A111" i="5" s="1"/>
  <c r="C217" i="4"/>
  <c r="B217" i="4"/>
  <c r="E217" i="4"/>
  <c r="O217" i="4"/>
  <c r="S217" i="4"/>
  <c r="N217" i="4"/>
  <c r="M217" i="4"/>
  <c r="K217" i="4"/>
  <c r="J217" i="4"/>
  <c r="I217" i="4"/>
  <c r="H217" i="4"/>
  <c r="L217" i="4"/>
  <c r="G217" i="4"/>
  <c r="F217" i="4"/>
  <c r="A217" i="4"/>
  <c r="K342" i="4"/>
  <c r="E342" i="4"/>
  <c r="F342" i="4"/>
  <c r="C342" i="4"/>
  <c r="B342" i="4"/>
  <c r="O342" i="4"/>
  <c r="N342" i="4"/>
  <c r="H342" i="4"/>
  <c r="A342" i="4"/>
  <c r="G342" i="4"/>
  <c r="S342" i="4"/>
  <c r="M342" i="4"/>
  <c r="L342" i="4"/>
  <c r="J342" i="4"/>
  <c r="I342" i="4"/>
  <c r="G340" i="4"/>
  <c r="S340" i="4"/>
  <c r="M340" i="4"/>
  <c r="L340" i="4"/>
  <c r="I340" i="4"/>
  <c r="F340" i="4"/>
  <c r="H340" i="4"/>
  <c r="N340" i="4"/>
  <c r="K340" i="4"/>
  <c r="J340" i="4"/>
  <c r="B340" i="4"/>
  <c r="A340" i="4"/>
  <c r="O340" i="4"/>
  <c r="E340" i="4"/>
  <c r="C340" i="4"/>
  <c r="M87" i="4"/>
  <c r="L87" i="4"/>
  <c r="C87" i="4"/>
  <c r="A87" i="4"/>
  <c r="A87" i="5" s="1"/>
  <c r="B87" i="4"/>
  <c r="S87" i="4"/>
  <c r="J87" i="4"/>
  <c r="K87" i="4"/>
  <c r="I87" i="4"/>
  <c r="H87" i="4"/>
  <c r="O87" i="4"/>
  <c r="F87" i="4"/>
  <c r="E87" i="4"/>
  <c r="N87" i="4"/>
  <c r="G87" i="4"/>
  <c r="I238" i="4"/>
  <c r="H238" i="4"/>
  <c r="M238" i="4"/>
  <c r="L238" i="4"/>
  <c r="A238" i="4"/>
  <c r="G238" i="4"/>
  <c r="F238" i="4"/>
  <c r="K238" i="4"/>
  <c r="J238" i="4"/>
  <c r="E238" i="4"/>
  <c r="S238" i="4"/>
  <c r="O238" i="4"/>
  <c r="N238" i="4"/>
  <c r="C238" i="4"/>
  <c r="B238" i="4"/>
  <c r="I247" i="4"/>
  <c r="H247" i="4"/>
  <c r="K247" i="4"/>
  <c r="J247" i="4"/>
  <c r="O247" i="4"/>
  <c r="S247" i="4"/>
  <c r="A247" i="4"/>
  <c r="C247" i="4"/>
  <c r="B247" i="4"/>
  <c r="N247" i="4"/>
  <c r="M247" i="4"/>
  <c r="L247" i="4"/>
  <c r="G247" i="4"/>
  <c r="F247" i="4"/>
  <c r="E247" i="4"/>
  <c r="C262" i="4"/>
  <c r="B262" i="4"/>
  <c r="M262" i="4"/>
  <c r="L262" i="4"/>
  <c r="E262" i="4"/>
  <c r="A262" i="4"/>
  <c r="H262" i="4"/>
  <c r="G262" i="4"/>
  <c r="K262" i="4"/>
  <c r="J262" i="4"/>
  <c r="I262" i="4"/>
  <c r="N262" i="4"/>
  <c r="F262" i="4"/>
  <c r="S262" i="4"/>
  <c r="O262" i="4"/>
  <c r="K333" i="4"/>
  <c r="S333" i="4"/>
  <c r="H333" i="4"/>
  <c r="G333" i="4"/>
  <c r="M333" i="4"/>
  <c r="L333" i="4"/>
  <c r="C333" i="4"/>
  <c r="F333" i="4"/>
  <c r="B333" i="4"/>
  <c r="E333" i="4"/>
  <c r="O333" i="4"/>
  <c r="N333" i="4"/>
  <c r="J333" i="4"/>
  <c r="I333" i="4"/>
  <c r="A333" i="4"/>
  <c r="S251" i="4"/>
  <c r="G251" i="4"/>
  <c r="F251" i="4"/>
  <c r="O251" i="4"/>
  <c r="C251" i="4"/>
  <c r="B251" i="4"/>
  <c r="A251" i="4"/>
  <c r="N251" i="4"/>
  <c r="M251" i="4"/>
  <c r="E251" i="4"/>
  <c r="L251" i="4"/>
  <c r="K251" i="4"/>
  <c r="J251" i="4"/>
  <c r="I251" i="4"/>
  <c r="H251" i="4"/>
  <c r="L9" i="4"/>
  <c r="J9" i="4"/>
  <c r="K9" i="4"/>
  <c r="B9" i="4"/>
  <c r="A9" i="4"/>
  <c r="A9" i="5" s="1"/>
  <c r="S9" i="4"/>
  <c r="M9" i="4"/>
  <c r="I9" i="4"/>
  <c r="N9" i="4"/>
  <c r="O9" i="4"/>
  <c r="H9" i="4"/>
  <c r="G9" i="4"/>
  <c r="F9" i="4"/>
  <c r="E9" i="4"/>
  <c r="C9" i="4"/>
  <c r="A328" i="4"/>
  <c r="H328" i="4"/>
  <c r="G328" i="4"/>
  <c r="B328" i="4"/>
  <c r="J328" i="4"/>
  <c r="I328" i="4"/>
  <c r="O328" i="4"/>
  <c r="N328" i="4"/>
  <c r="M328" i="4"/>
  <c r="S328" i="4"/>
  <c r="C328" i="4"/>
  <c r="L328" i="4"/>
  <c r="K328" i="4"/>
  <c r="F328" i="4"/>
  <c r="E328" i="4"/>
  <c r="I166" i="4"/>
  <c r="H166" i="4"/>
  <c r="K166" i="4"/>
  <c r="J166" i="4"/>
  <c r="O166" i="4"/>
  <c r="M166" i="4"/>
  <c r="N166" i="4"/>
  <c r="L166" i="4"/>
  <c r="G166" i="4"/>
  <c r="E166" i="4"/>
  <c r="C166" i="4"/>
  <c r="S166" i="4"/>
  <c r="F166" i="4"/>
  <c r="B166" i="4"/>
  <c r="A166" i="4"/>
  <c r="A166" i="5" s="1"/>
  <c r="K131" i="4"/>
  <c r="J131" i="4"/>
  <c r="C131" i="4"/>
  <c r="B131" i="4"/>
  <c r="E131" i="4"/>
  <c r="A131" i="4"/>
  <c r="A131" i="5" s="1"/>
  <c r="O131" i="4"/>
  <c r="N131" i="4"/>
  <c r="M131" i="4"/>
  <c r="F131" i="4"/>
  <c r="S131" i="4"/>
  <c r="L131" i="4"/>
  <c r="I131" i="4"/>
  <c r="H131" i="4"/>
  <c r="G131" i="4"/>
  <c r="O241" i="4"/>
  <c r="N241" i="4"/>
  <c r="E241" i="4"/>
  <c r="M241" i="4"/>
  <c r="L241" i="4"/>
  <c r="H241" i="4"/>
  <c r="G241" i="4"/>
  <c r="F241" i="4"/>
  <c r="S241" i="4"/>
  <c r="K241" i="4"/>
  <c r="J241" i="4"/>
  <c r="I241" i="4"/>
  <c r="C241" i="4"/>
  <c r="B241" i="4"/>
  <c r="A241" i="4"/>
  <c r="E83" i="4"/>
  <c r="A83" i="4"/>
  <c r="A83" i="5" s="1"/>
  <c r="B83" i="4"/>
  <c r="M83" i="4"/>
  <c r="K83" i="4"/>
  <c r="J83" i="4"/>
  <c r="I83" i="4"/>
  <c r="N83" i="4"/>
  <c r="L83" i="4"/>
  <c r="G83" i="4"/>
  <c r="H83" i="4"/>
  <c r="F83" i="4"/>
  <c r="C83" i="4"/>
  <c r="S83" i="4"/>
  <c r="O83" i="4"/>
  <c r="K248" i="4"/>
  <c r="J248" i="4"/>
  <c r="O248" i="4"/>
  <c r="N248" i="4"/>
  <c r="A248" i="4"/>
  <c r="L248" i="4"/>
  <c r="I248" i="4"/>
  <c r="E248" i="4"/>
  <c r="B248" i="4"/>
  <c r="S248" i="4"/>
  <c r="C248" i="4"/>
  <c r="M248" i="4"/>
  <c r="H248" i="4"/>
  <c r="G248" i="4"/>
  <c r="F248" i="4"/>
  <c r="I274" i="4"/>
  <c r="H274" i="4"/>
  <c r="C274" i="4"/>
  <c r="B274" i="4"/>
  <c r="O274" i="4"/>
  <c r="S274" i="4"/>
  <c r="F274" i="4"/>
  <c r="E274" i="4"/>
  <c r="A274" i="4"/>
  <c r="M274" i="4"/>
  <c r="J274" i="4"/>
  <c r="G274" i="4"/>
  <c r="L274" i="4"/>
  <c r="K274" i="4"/>
  <c r="N274" i="4"/>
  <c r="M123" i="4"/>
  <c r="L123" i="4"/>
  <c r="I123" i="4"/>
  <c r="H123" i="4"/>
  <c r="S123" i="4"/>
  <c r="O123" i="4"/>
  <c r="C123" i="4"/>
  <c r="B123" i="4"/>
  <c r="K123" i="4"/>
  <c r="E123" i="4"/>
  <c r="J123" i="4"/>
  <c r="G123" i="4"/>
  <c r="F123" i="4"/>
  <c r="A123" i="4"/>
  <c r="A123" i="5" s="1"/>
  <c r="N123" i="4"/>
  <c r="F336" i="4"/>
  <c r="A336" i="4"/>
  <c r="J336" i="4"/>
  <c r="I336" i="4"/>
  <c r="H336" i="4"/>
  <c r="G336" i="4"/>
  <c r="S336" i="4"/>
  <c r="N336" i="4"/>
  <c r="O336" i="4"/>
  <c r="E336" i="4"/>
  <c r="C336" i="4"/>
  <c r="M336" i="4"/>
  <c r="L336" i="4"/>
  <c r="K336" i="4"/>
  <c r="B336" i="4"/>
  <c r="O317" i="4"/>
  <c r="E317" i="4"/>
  <c r="B317" i="4"/>
  <c r="A317" i="4"/>
  <c r="G317" i="4"/>
  <c r="F317" i="4"/>
  <c r="C317" i="4"/>
  <c r="S317" i="4"/>
  <c r="N317" i="4"/>
  <c r="M317" i="4"/>
  <c r="H317" i="4"/>
  <c r="L317" i="4"/>
  <c r="K317" i="4"/>
  <c r="J317" i="4"/>
  <c r="I317" i="4"/>
  <c r="E254" i="4"/>
  <c r="O254" i="4"/>
  <c r="S254" i="4"/>
  <c r="M254" i="4"/>
  <c r="L254" i="4"/>
  <c r="K254" i="4"/>
  <c r="J254" i="4"/>
  <c r="I254" i="4"/>
  <c r="H254" i="4"/>
  <c r="G254" i="4"/>
  <c r="F254" i="4"/>
  <c r="B254" i="4"/>
  <c r="N254" i="4"/>
  <c r="C254" i="4"/>
  <c r="A254" i="4"/>
  <c r="K95" i="4"/>
  <c r="J95" i="4"/>
  <c r="M95" i="4"/>
  <c r="L95" i="4"/>
  <c r="I95" i="4"/>
  <c r="G95" i="4"/>
  <c r="H95" i="4"/>
  <c r="E95" i="4"/>
  <c r="S95" i="4"/>
  <c r="O95" i="4"/>
  <c r="B95" i="4"/>
  <c r="A95" i="4"/>
  <c r="A95" i="5" s="1"/>
  <c r="N95" i="4"/>
  <c r="F95" i="4"/>
  <c r="C95" i="4"/>
  <c r="G322" i="4"/>
  <c r="A322" i="4"/>
  <c r="C322" i="4"/>
  <c r="B322" i="4"/>
  <c r="H322" i="4"/>
  <c r="F322" i="4"/>
  <c r="L322" i="4"/>
  <c r="J322" i="4"/>
  <c r="K322" i="4"/>
  <c r="O322" i="4"/>
  <c r="N322" i="4"/>
  <c r="M322" i="4"/>
  <c r="S322" i="4"/>
  <c r="I322" i="4"/>
  <c r="E322" i="4"/>
  <c r="B38" i="4"/>
  <c r="A38" i="4"/>
  <c r="A38" i="5" s="1"/>
  <c r="L38" i="4"/>
  <c r="J38" i="4"/>
  <c r="K38" i="4"/>
  <c r="F38" i="4"/>
  <c r="E38" i="4"/>
  <c r="S38" i="4"/>
  <c r="O38" i="4"/>
  <c r="G38" i="4"/>
  <c r="H38" i="4"/>
  <c r="N38" i="4"/>
  <c r="M38" i="4"/>
  <c r="I38" i="4"/>
  <c r="C38" i="4"/>
  <c r="G174" i="4"/>
  <c r="F174" i="4"/>
  <c r="C174" i="4"/>
  <c r="B174" i="4"/>
  <c r="E174" i="4"/>
  <c r="A174" i="4"/>
  <c r="A174" i="5" s="1"/>
  <c r="O174" i="4"/>
  <c r="I174" i="4"/>
  <c r="N174" i="4"/>
  <c r="L174" i="4"/>
  <c r="H174" i="4"/>
  <c r="M174" i="4"/>
  <c r="K174" i="4"/>
  <c r="J174" i="4"/>
  <c r="S174" i="4"/>
  <c r="I148" i="4"/>
  <c r="H148" i="4"/>
  <c r="O148" i="4"/>
  <c r="N148" i="4"/>
  <c r="E148" i="4"/>
  <c r="C148" i="4"/>
  <c r="K148" i="4"/>
  <c r="J148" i="4"/>
  <c r="G148" i="4"/>
  <c r="M148" i="4"/>
  <c r="A148" i="4"/>
  <c r="A148" i="5" s="1"/>
  <c r="L148" i="4"/>
  <c r="B148" i="4"/>
  <c r="F148" i="4"/>
  <c r="S148" i="4"/>
  <c r="O326" i="4"/>
  <c r="M326" i="4"/>
  <c r="J326" i="4"/>
  <c r="I326" i="4"/>
  <c r="S326" i="4"/>
  <c r="N326" i="4"/>
  <c r="B326" i="4"/>
  <c r="C326" i="4"/>
  <c r="G326" i="4"/>
  <c r="F326" i="4"/>
  <c r="E326" i="4"/>
  <c r="L326" i="4"/>
  <c r="K326" i="4"/>
  <c r="H326" i="4"/>
  <c r="A326" i="4"/>
  <c r="E263" i="4"/>
  <c r="S263" i="4"/>
  <c r="K263" i="4"/>
  <c r="I263" i="4"/>
  <c r="J263" i="4"/>
  <c r="N263" i="4"/>
  <c r="M263" i="4"/>
  <c r="L263" i="4"/>
  <c r="H263" i="4"/>
  <c r="A263" i="4"/>
  <c r="O263" i="4"/>
  <c r="G263" i="4"/>
  <c r="F263" i="4"/>
  <c r="C263" i="4"/>
  <c r="B263" i="4"/>
  <c r="A207" i="4"/>
  <c r="C207" i="4"/>
  <c r="B207" i="4"/>
  <c r="O207" i="4"/>
  <c r="S207" i="4"/>
  <c r="K207" i="4"/>
  <c r="J207" i="4"/>
  <c r="I207" i="4"/>
  <c r="H207" i="4"/>
  <c r="G207" i="4"/>
  <c r="F207" i="4"/>
  <c r="E207" i="4"/>
  <c r="M207" i="4"/>
  <c r="N207" i="4"/>
  <c r="L207" i="4"/>
  <c r="I350" i="4"/>
  <c r="K350" i="4"/>
  <c r="M350" i="4"/>
  <c r="L350" i="4"/>
  <c r="O350" i="4"/>
  <c r="N350" i="4"/>
  <c r="J350" i="4"/>
  <c r="H350" i="4"/>
  <c r="G350" i="4"/>
  <c r="S350" i="4"/>
  <c r="F350" i="4"/>
  <c r="E350" i="4"/>
  <c r="C350" i="4"/>
  <c r="B350" i="4"/>
  <c r="A350" i="4"/>
  <c r="K212" i="4"/>
  <c r="J212" i="4"/>
  <c r="C212" i="4"/>
  <c r="B212" i="4"/>
  <c r="G212" i="4"/>
  <c r="E212" i="4"/>
  <c r="F212" i="4"/>
  <c r="O212" i="4"/>
  <c r="N212" i="4"/>
  <c r="L212" i="4"/>
  <c r="I212" i="4"/>
  <c r="H212" i="4"/>
  <c r="A212" i="4"/>
  <c r="S212" i="4"/>
  <c r="M212" i="4"/>
  <c r="S197" i="4"/>
  <c r="A197" i="4"/>
  <c r="A197" i="5" s="1"/>
  <c r="O197" i="4"/>
  <c r="H197" i="4"/>
  <c r="G197" i="4"/>
  <c r="E197" i="4"/>
  <c r="C197" i="4"/>
  <c r="B197" i="4"/>
  <c r="M197" i="4"/>
  <c r="J197" i="4"/>
  <c r="I197" i="4"/>
  <c r="L197" i="4"/>
  <c r="K197" i="4"/>
  <c r="N197" i="4"/>
  <c r="F197" i="4"/>
  <c r="K158" i="4"/>
  <c r="J158" i="4"/>
  <c r="S158" i="4"/>
  <c r="E158" i="4"/>
  <c r="C158" i="4"/>
  <c r="B158" i="4"/>
  <c r="A158" i="4"/>
  <c r="A158" i="5" s="1"/>
  <c r="N158" i="4"/>
  <c r="M158" i="4"/>
  <c r="L158" i="4"/>
  <c r="O158" i="4"/>
  <c r="I158" i="4"/>
  <c r="H158" i="4"/>
  <c r="G158" i="4"/>
  <c r="F158" i="4"/>
  <c r="I265" i="4"/>
  <c r="H265" i="4"/>
  <c r="E265" i="4"/>
  <c r="A265" i="4"/>
  <c r="N265" i="4"/>
  <c r="M265" i="4"/>
  <c r="S265" i="4"/>
  <c r="O265" i="4"/>
  <c r="L265" i="4"/>
  <c r="G265" i="4"/>
  <c r="F265" i="4"/>
  <c r="C265" i="4"/>
  <c r="K265" i="4"/>
  <c r="J265" i="4"/>
  <c r="B265" i="4"/>
  <c r="S293" i="4"/>
  <c r="J293" i="4"/>
  <c r="I293" i="4"/>
  <c r="C293" i="4"/>
  <c r="A293" i="4"/>
  <c r="B293" i="4"/>
  <c r="L293" i="4"/>
  <c r="G293" i="4"/>
  <c r="F293" i="4"/>
  <c r="K293" i="4"/>
  <c r="H293" i="4"/>
  <c r="O293" i="4"/>
  <c r="N293" i="4"/>
  <c r="M293" i="4"/>
  <c r="E293" i="4"/>
  <c r="I202" i="4"/>
  <c r="H202" i="4"/>
  <c r="A202" i="4"/>
  <c r="G202" i="4"/>
  <c r="E202" i="4"/>
  <c r="F202" i="4"/>
  <c r="L202" i="4"/>
  <c r="K202" i="4"/>
  <c r="S202" i="4"/>
  <c r="O202" i="4"/>
  <c r="N202" i="4"/>
  <c r="M202" i="4"/>
  <c r="J202" i="4"/>
  <c r="C202" i="4"/>
  <c r="B202" i="4"/>
  <c r="G264" i="4"/>
  <c r="F264" i="4"/>
  <c r="A264" i="4"/>
  <c r="O264" i="4"/>
  <c r="S264" i="4"/>
  <c r="C264" i="4"/>
  <c r="B264" i="4"/>
  <c r="J264" i="4"/>
  <c r="I264" i="4"/>
  <c r="H264" i="4"/>
  <c r="N264" i="4"/>
  <c r="M264" i="4"/>
  <c r="L264" i="4"/>
  <c r="K264" i="4"/>
  <c r="E264" i="4"/>
  <c r="M159" i="4"/>
  <c r="L159" i="4"/>
  <c r="A159" i="4"/>
  <c r="A159" i="5" s="1"/>
  <c r="K159" i="4"/>
  <c r="I159" i="4"/>
  <c r="J159" i="4"/>
  <c r="S159" i="4"/>
  <c r="O159" i="4"/>
  <c r="N159" i="4"/>
  <c r="C159" i="4"/>
  <c r="B159" i="4"/>
  <c r="H159" i="4"/>
  <c r="G159" i="4"/>
  <c r="F159" i="4"/>
  <c r="E159" i="4"/>
  <c r="S116" i="4"/>
  <c r="A116" i="4"/>
  <c r="A116" i="5" s="1"/>
  <c r="O116" i="4"/>
  <c r="M116" i="4"/>
  <c r="N116" i="4"/>
  <c r="H116" i="4"/>
  <c r="F116" i="4"/>
  <c r="G116" i="4"/>
  <c r="E116" i="4"/>
  <c r="L116" i="4"/>
  <c r="K116" i="4"/>
  <c r="J116" i="4"/>
  <c r="I116" i="4"/>
  <c r="C116" i="4"/>
  <c r="B116" i="4"/>
  <c r="M213" i="4"/>
  <c r="L213" i="4"/>
  <c r="G213" i="4"/>
  <c r="F213" i="4"/>
  <c r="O213" i="4"/>
  <c r="K213" i="4"/>
  <c r="N213" i="4"/>
  <c r="C213" i="4"/>
  <c r="B213" i="4"/>
  <c r="A213" i="4"/>
  <c r="J213" i="4"/>
  <c r="I213" i="4"/>
  <c r="H213" i="4"/>
  <c r="E213" i="4"/>
  <c r="S213" i="4"/>
  <c r="A243" i="4"/>
  <c r="M243" i="4"/>
  <c r="L243" i="4"/>
  <c r="K243" i="4"/>
  <c r="I243" i="4"/>
  <c r="J243" i="4"/>
  <c r="H243" i="4"/>
  <c r="G243" i="4"/>
  <c r="E243" i="4"/>
  <c r="C243" i="4"/>
  <c r="B243" i="4"/>
  <c r="N243" i="4"/>
  <c r="F243" i="4"/>
  <c r="S243" i="4"/>
  <c r="O243" i="4"/>
  <c r="N10" i="4"/>
  <c r="L10" i="4"/>
  <c r="M10" i="4"/>
  <c r="E10" i="4"/>
  <c r="I10" i="4"/>
  <c r="H10" i="4"/>
  <c r="G10" i="4"/>
  <c r="K10" i="4"/>
  <c r="J10" i="4"/>
  <c r="C10" i="4"/>
  <c r="F10" i="4"/>
  <c r="B10" i="4"/>
  <c r="A10" i="4"/>
  <c r="A10" i="5" s="1"/>
  <c r="S10" i="4"/>
  <c r="O10" i="4"/>
  <c r="C100" i="4"/>
  <c r="B100" i="4"/>
  <c r="M100" i="4"/>
  <c r="L100" i="4"/>
  <c r="A100" i="4"/>
  <c r="A100" i="5" s="1"/>
  <c r="N100" i="4"/>
  <c r="F100" i="4"/>
  <c r="K100" i="4"/>
  <c r="E100" i="4"/>
  <c r="J100" i="4"/>
  <c r="I100" i="4"/>
  <c r="H100" i="4"/>
  <c r="G100" i="4"/>
  <c r="S100" i="4"/>
  <c r="O100" i="4"/>
  <c r="I175" i="4"/>
  <c r="H175" i="4"/>
  <c r="G175" i="4"/>
  <c r="F175" i="4"/>
  <c r="E175" i="4"/>
  <c r="C175" i="4"/>
  <c r="B175" i="4"/>
  <c r="A175" i="4"/>
  <c r="A175" i="5" s="1"/>
  <c r="S175" i="4"/>
  <c r="O175" i="4"/>
  <c r="N175" i="4"/>
  <c r="M175" i="4"/>
  <c r="L175" i="4"/>
  <c r="K175" i="4"/>
  <c r="J175" i="4"/>
  <c r="F46" i="4"/>
  <c r="E46" i="4"/>
  <c r="O46" i="4"/>
  <c r="N46" i="4"/>
  <c r="M46" i="4"/>
  <c r="L46" i="4"/>
  <c r="K46" i="4"/>
  <c r="C46" i="4"/>
  <c r="B46" i="4"/>
  <c r="A46" i="4"/>
  <c r="A46" i="5" s="1"/>
  <c r="S46" i="4"/>
  <c r="J46" i="4"/>
  <c r="I46" i="4"/>
  <c r="H46" i="4"/>
  <c r="G46" i="4"/>
  <c r="I103" i="4"/>
  <c r="H103" i="4"/>
  <c r="E103" i="4"/>
  <c r="J103" i="4"/>
  <c r="G103" i="4"/>
  <c r="A103" i="4"/>
  <c r="A103" i="5" s="1"/>
  <c r="S103" i="4"/>
  <c r="O103" i="4"/>
  <c r="N103" i="4"/>
  <c r="C103" i="4"/>
  <c r="B103" i="4"/>
  <c r="M103" i="4"/>
  <c r="L103" i="4"/>
  <c r="K103" i="4"/>
  <c r="F103" i="4"/>
  <c r="G287" i="4"/>
  <c r="F287" i="4"/>
  <c r="E287" i="4"/>
  <c r="S287" i="4"/>
  <c r="O287" i="4"/>
  <c r="N287" i="4"/>
  <c r="J287" i="4"/>
  <c r="I287" i="4"/>
  <c r="H287" i="4"/>
  <c r="C287" i="4"/>
  <c r="L287" i="4"/>
  <c r="B287" i="4"/>
  <c r="A287" i="4"/>
  <c r="M287" i="4"/>
  <c r="K287" i="4"/>
  <c r="E128" i="4"/>
  <c r="K128" i="4"/>
  <c r="J128" i="4"/>
  <c r="G128" i="4"/>
  <c r="C128" i="4"/>
  <c r="F128" i="4"/>
  <c r="N128" i="4"/>
  <c r="L128" i="4"/>
  <c r="B128" i="4"/>
  <c r="A128" i="4"/>
  <c r="A128" i="5" s="1"/>
  <c r="I128" i="4"/>
  <c r="H128" i="4"/>
  <c r="S128" i="4"/>
  <c r="O128" i="4"/>
  <c r="M128" i="4"/>
  <c r="K315" i="4"/>
  <c r="N315" i="4"/>
  <c r="M315" i="4"/>
  <c r="E315" i="4"/>
  <c r="L315" i="4"/>
  <c r="J315" i="4"/>
  <c r="G315" i="4"/>
  <c r="C315" i="4"/>
  <c r="F315" i="4"/>
  <c r="S315" i="4"/>
  <c r="B315" i="4"/>
  <c r="A315" i="4"/>
  <c r="H315" i="4"/>
  <c r="O315" i="4"/>
  <c r="I315" i="4"/>
  <c r="I323" i="4"/>
  <c r="G323" i="4"/>
  <c r="F323" i="4"/>
  <c r="N323" i="4"/>
  <c r="M323" i="4"/>
  <c r="L323" i="4"/>
  <c r="K323" i="4"/>
  <c r="H323" i="4"/>
  <c r="E323" i="4"/>
  <c r="C323" i="4"/>
  <c r="S323" i="4"/>
  <c r="O323" i="4"/>
  <c r="J323" i="4"/>
  <c r="B323" i="4"/>
  <c r="A323" i="4"/>
  <c r="I256" i="4"/>
  <c r="H256" i="4"/>
  <c r="G256" i="4"/>
  <c r="F256" i="4"/>
  <c r="K256" i="4"/>
  <c r="E256" i="4"/>
  <c r="J256" i="4"/>
  <c r="O256" i="4"/>
  <c r="N256" i="4"/>
  <c r="M256" i="4"/>
  <c r="S256" i="4"/>
  <c r="L256" i="4"/>
  <c r="C256" i="4"/>
  <c r="B256" i="4"/>
  <c r="A256" i="4"/>
  <c r="A171" i="4"/>
  <c r="A171" i="5" s="1"/>
  <c r="K171" i="4"/>
  <c r="J171" i="4"/>
  <c r="C171" i="4"/>
  <c r="B171" i="4"/>
  <c r="N171" i="4"/>
  <c r="M171" i="4"/>
  <c r="I171" i="4"/>
  <c r="H171" i="4"/>
  <c r="G171" i="4"/>
  <c r="F171" i="4"/>
  <c r="E171" i="4"/>
  <c r="S171" i="4"/>
  <c r="O171" i="4"/>
  <c r="L171" i="4"/>
  <c r="K104" i="4"/>
  <c r="J104" i="4"/>
  <c r="I104" i="4"/>
  <c r="H104" i="4"/>
  <c r="C104" i="4"/>
  <c r="A104" i="4"/>
  <c r="A104" i="5" s="1"/>
  <c r="B104" i="4"/>
  <c r="S104" i="4"/>
  <c r="O104" i="4"/>
  <c r="L104" i="4"/>
  <c r="G104" i="4"/>
  <c r="F104" i="4"/>
  <c r="N104" i="4"/>
  <c r="M104" i="4"/>
  <c r="E104" i="4"/>
  <c r="C311" i="4"/>
  <c r="F311" i="4"/>
  <c r="S311" i="4"/>
  <c r="A311" i="4"/>
  <c r="M311" i="4"/>
  <c r="K311" i="4"/>
  <c r="L311" i="4"/>
  <c r="B311" i="4"/>
  <c r="O311" i="4"/>
  <c r="N311" i="4"/>
  <c r="J311" i="4"/>
  <c r="I311" i="4"/>
  <c r="E311" i="4"/>
  <c r="H311" i="4"/>
  <c r="G311" i="4"/>
  <c r="O79" i="4"/>
  <c r="F79" i="4"/>
  <c r="E79" i="4"/>
  <c r="N79" i="4"/>
  <c r="S79" i="4"/>
  <c r="J79" i="4"/>
  <c r="I79" i="4"/>
  <c r="K79" i="4"/>
  <c r="H79" i="4"/>
  <c r="G79" i="4"/>
  <c r="M79" i="4"/>
  <c r="L79" i="4"/>
  <c r="C79" i="4"/>
  <c r="B79" i="4"/>
  <c r="A79" i="4"/>
  <c r="A79" i="5" s="1"/>
  <c r="N26" i="4"/>
  <c r="M26" i="4"/>
  <c r="B26" i="4"/>
  <c r="A26" i="4"/>
  <c r="A26" i="5" s="1"/>
  <c r="G26" i="4"/>
  <c r="F26" i="4"/>
  <c r="E26" i="4"/>
  <c r="L26" i="4"/>
  <c r="K26" i="4"/>
  <c r="S26" i="4"/>
  <c r="O26" i="4"/>
  <c r="J26" i="4"/>
  <c r="C26" i="4"/>
  <c r="I26" i="4"/>
  <c r="H26" i="4"/>
  <c r="B29" i="4"/>
  <c r="A29" i="4"/>
  <c r="A29" i="5" s="1"/>
  <c r="N29" i="4"/>
  <c r="L29" i="4"/>
  <c r="M29" i="4"/>
  <c r="K29" i="4"/>
  <c r="J29" i="4"/>
  <c r="I29" i="4"/>
  <c r="S29" i="4"/>
  <c r="O29" i="4"/>
  <c r="C29" i="4"/>
  <c r="H29" i="4"/>
  <c r="G29" i="4"/>
  <c r="F29" i="4"/>
  <c r="E29" i="4"/>
  <c r="S290" i="4"/>
  <c r="G290" i="4"/>
  <c r="B290" i="4"/>
  <c r="A290" i="4"/>
  <c r="I290" i="4"/>
  <c r="H290" i="4"/>
  <c r="E290" i="4"/>
  <c r="C290" i="4"/>
  <c r="L290" i="4"/>
  <c r="F290" i="4"/>
  <c r="K290" i="4"/>
  <c r="J290" i="4"/>
  <c r="O290" i="4"/>
  <c r="N290" i="4"/>
  <c r="M290" i="4"/>
  <c r="I211" i="4"/>
  <c r="H211" i="4"/>
  <c r="A211" i="4"/>
  <c r="C211" i="4"/>
  <c r="B211" i="4"/>
  <c r="O211" i="4"/>
  <c r="N211" i="4"/>
  <c r="M211" i="4"/>
  <c r="S211" i="4"/>
  <c r="L211" i="4"/>
  <c r="K211" i="4"/>
  <c r="J211" i="4"/>
  <c r="G211" i="4"/>
  <c r="F211" i="4"/>
  <c r="E211" i="4"/>
  <c r="K122" i="4"/>
  <c r="J122" i="4"/>
  <c r="E122" i="4"/>
  <c r="M122" i="4"/>
  <c r="I122" i="4"/>
  <c r="L122" i="4"/>
  <c r="C122" i="4"/>
  <c r="B122" i="4"/>
  <c r="F122" i="4"/>
  <c r="A122" i="4"/>
  <c r="A122" i="5" s="1"/>
  <c r="S122" i="4"/>
  <c r="H122" i="4"/>
  <c r="G122" i="4"/>
  <c r="O122" i="4"/>
  <c r="N122" i="4"/>
  <c r="S286" i="4"/>
  <c r="C286" i="4"/>
  <c r="N286" i="4"/>
  <c r="L286" i="4"/>
  <c r="M286" i="4"/>
  <c r="K286" i="4"/>
  <c r="J286" i="4"/>
  <c r="B286" i="4"/>
  <c r="A286" i="4"/>
  <c r="I286" i="4"/>
  <c r="H286" i="4"/>
  <c r="G286" i="4"/>
  <c r="O286" i="4"/>
  <c r="F286" i="4"/>
  <c r="E286" i="4"/>
  <c r="O88" i="4"/>
  <c r="N88" i="4"/>
  <c r="C88" i="4"/>
  <c r="B88" i="4"/>
  <c r="I88" i="4"/>
  <c r="G88" i="4"/>
  <c r="H88" i="4"/>
  <c r="A88" i="4"/>
  <c r="A88" i="5" s="1"/>
  <c r="L88" i="4"/>
  <c r="K88" i="4"/>
  <c r="J88" i="4"/>
  <c r="F88" i="4"/>
  <c r="E88" i="4"/>
  <c r="S88" i="4"/>
  <c r="M88" i="4"/>
  <c r="O196" i="4"/>
  <c r="N196" i="4"/>
  <c r="S196" i="4"/>
  <c r="K196" i="4"/>
  <c r="I196" i="4"/>
  <c r="J196" i="4"/>
  <c r="M196" i="4"/>
  <c r="L196" i="4"/>
  <c r="H196" i="4"/>
  <c r="A196" i="4"/>
  <c r="A196" i="5" s="1"/>
  <c r="G196" i="4"/>
  <c r="F196" i="4"/>
  <c r="E196" i="4"/>
  <c r="C196" i="4"/>
  <c r="B196" i="4"/>
  <c r="G210" i="4"/>
  <c r="F210" i="4"/>
  <c r="O210" i="4"/>
  <c r="N210" i="4"/>
  <c r="M210" i="4"/>
  <c r="S210" i="4"/>
  <c r="J210" i="4"/>
  <c r="I210" i="4"/>
  <c r="H210" i="4"/>
  <c r="L210" i="4"/>
  <c r="K210" i="4"/>
  <c r="E210" i="4"/>
  <c r="C210" i="4"/>
  <c r="B210" i="4"/>
  <c r="A210" i="4"/>
  <c r="O124" i="4"/>
  <c r="N124" i="4"/>
  <c r="M124" i="4"/>
  <c r="L124" i="4"/>
  <c r="C124" i="4"/>
  <c r="A124" i="4"/>
  <c r="A124" i="5" s="1"/>
  <c r="B124" i="4"/>
  <c r="F124" i="4"/>
  <c r="E124" i="4"/>
  <c r="S124" i="4"/>
  <c r="K124" i="4"/>
  <c r="J124" i="4"/>
  <c r="I124" i="4"/>
  <c r="H124" i="4"/>
  <c r="G124" i="4"/>
  <c r="I139" i="4"/>
  <c r="H139" i="4"/>
  <c r="S139" i="4"/>
  <c r="M139" i="4"/>
  <c r="K139" i="4"/>
  <c r="L139" i="4"/>
  <c r="E139" i="4"/>
  <c r="J139" i="4"/>
  <c r="G139" i="4"/>
  <c r="F139" i="4"/>
  <c r="C139" i="4"/>
  <c r="B139" i="4"/>
  <c r="A139" i="4"/>
  <c r="A139" i="5" s="1"/>
  <c r="O139" i="4"/>
  <c r="N139" i="4"/>
  <c r="K77" i="4"/>
  <c r="F77" i="4"/>
  <c r="E77" i="4"/>
  <c r="S77" i="4"/>
  <c r="O77" i="4"/>
  <c r="L77" i="4"/>
  <c r="J77" i="4"/>
  <c r="I77" i="4"/>
  <c r="N77" i="4"/>
  <c r="M77" i="4"/>
  <c r="H77" i="4"/>
  <c r="A77" i="4"/>
  <c r="A77" i="5" s="1"/>
  <c r="G77" i="4"/>
  <c r="C77" i="4"/>
  <c r="B77" i="4"/>
  <c r="E155" i="4"/>
  <c r="C155" i="4"/>
  <c r="B155" i="4"/>
  <c r="I155" i="4"/>
  <c r="G155" i="4"/>
  <c r="H155" i="4"/>
  <c r="L155" i="4"/>
  <c r="K155" i="4"/>
  <c r="J155" i="4"/>
  <c r="F155" i="4"/>
  <c r="O155" i="4"/>
  <c r="N155" i="4"/>
  <c r="M155" i="4"/>
  <c r="S155" i="4"/>
  <c r="A155" i="4"/>
  <c r="A155" i="5" s="1"/>
  <c r="N298" i="4"/>
  <c r="M298" i="4"/>
  <c r="L298" i="4"/>
  <c r="S298" i="4"/>
  <c r="O298" i="4"/>
  <c r="K298" i="4"/>
  <c r="J298" i="4"/>
  <c r="C298" i="4"/>
  <c r="A298" i="4"/>
  <c r="B298" i="4"/>
  <c r="F298" i="4"/>
  <c r="E298" i="4"/>
  <c r="H298" i="4"/>
  <c r="G298" i="4"/>
  <c r="I298" i="4"/>
  <c r="L61" i="4"/>
  <c r="K61" i="4"/>
  <c r="H61" i="4"/>
  <c r="F61" i="4"/>
  <c r="G61" i="4"/>
  <c r="A61" i="4"/>
  <c r="A61" i="5" s="1"/>
  <c r="O61" i="4"/>
  <c r="N61" i="4"/>
  <c r="M61" i="4"/>
  <c r="S61" i="4"/>
  <c r="J61" i="4"/>
  <c r="I61" i="4"/>
  <c r="E61" i="4"/>
  <c r="C61" i="4"/>
  <c r="B61" i="4"/>
  <c r="I157" i="4"/>
  <c r="H157" i="4"/>
  <c r="M157" i="4"/>
  <c r="L157" i="4"/>
  <c r="A157" i="4"/>
  <c r="A157" i="5" s="1"/>
  <c r="N157" i="4"/>
  <c r="K157" i="4"/>
  <c r="J157" i="4"/>
  <c r="G157" i="4"/>
  <c r="C157" i="4"/>
  <c r="B157" i="4"/>
  <c r="S157" i="4"/>
  <c r="O157" i="4"/>
  <c r="F157" i="4"/>
  <c r="E157" i="4"/>
  <c r="C145" i="4"/>
  <c r="B145" i="4"/>
  <c r="A145" i="4"/>
  <c r="A145" i="5" s="1"/>
  <c r="I145" i="4"/>
  <c r="G145" i="4"/>
  <c r="H145" i="4"/>
  <c r="F145" i="4"/>
  <c r="E145" i="4"/>
  <c r="S145" i="4"/>
  <c r="N145" i="4"/>
  <c r="J145" i="4"/>
  <c r="M145" i="4"/>
  <c r="L145" i="4"/>
  <c r="K145" i="4"/>
  <c r="O145" i="4"/>
  <c r="G156" i="4"/>
  <c r="F156" i="4"/>
  <c r="I156" i="4"/>
  <c r="H156" i="4"/>
  <c r="O156" i="4"/>
  <c r="M156" i="4"/>
  <c r="N156" i="4"/>
  <c r="E156" i="4"/>
  <c r="S156" i="4"/>
  <c r="L156" i="4"/>
  <c r="B156" i="4"/>
  <c r="K156" i="4"/>
  <c r="A156" i="4"/>
  <c r="A156" i="5" s="1"/>
  <c r="J156" i="4"/>
  <c r="C156" i="4"/>
  <c r="M195" i="4"/>
  <c r="L195" i="4"/>
  <c r="K195" i="4"/>
  <c r="J195" i="4"/>
  <c r="E195" i="4"/>
  <c r="C195" i="4"/>
  <c r="O195" i="4"/>
  <c r="N195" i="4"/>
  <c r="F195" i="4"/>
  <c r="B195" i="4"/>
  <c r="A195" i="4"/>
  <c r="A195" i="5" s="1"/>
  <c r="H195" i="4"/>
  <c r="G195" i="4"/>
  <c r="S195" i="4"/>
  <c r="I195" i="4"/>
  <c r="C21" i="4"/>
  <c r="A21" i="4"/>
  <c r="A21" i="5" s="1"/>
  <c r="B21" i="4"/>
  <c r="G21" i="4"/>
  <c r="F21" i="4"/>
  <c r="I21" i="4"/>
  <c r="H21" i="4"/>
  <c r="E21" i="4"/>
  <c r="N21" i="4"/>
  <c r="J21" i="4"/>
  <c r="M21" i="4"/>
  <c r="L21" i="4"/>
  <c r="K21" i="4"/>
  <c r="S21" i="4"/>
  <c r="O21" i="4"/>
  <c r="N285" i="4"/>
  <c r="A285" i="4"/>
  <c r="S285" i="4"/>
  <c r="O285" i="4"/>
  <c r="G285" i="4"/>
  <c r="E285" i="4"/>
  <c r="F285" i="4"/>
  <c r="M285" i="4"/>
  <c r="C285" i="4"/>
  <c r="B285" i="4"/>
  <c r="H285" i="4"/>
  <c r="L285" i="4"/>
  <c r="K285" i="4"/>
  <c r="J285" i="4"/>
  <c r="I285" i="4"/>
  <c r="O223" i="4"/>
  <c r="N223" i="4"/>
  <c r="I223" i="4"/>
  <c r="H223" i="4"/>
  <c r="M223" i="4"/>
  <c r="K223" i="4"/>
  <c r="L223" i="4"/>
  <c r="B223" i="4"/>
  <c r="A223" i="4"/>
  <c r="S223" i="4"/>
  <c r="J223" i="4"/>
  <c r="G223" i="4"/>
  <c r="F223" i="4"/>
  <c r="E223" i="4"/>
  <c r="C223" i="4"/>
  <c r="S63" i="4"/>
  <c r="O63" i="4"/>
  <c r="N63" i="4"/>
  <c r="J63" i="4"/>
  <c r="I63" i="4"/>
  <c r="M63" i="4"/>
  <c r="C63" i="4"/>
  <c r="A63" i="4"/>
  <c r="A63" i="5" s="1"/>
  <c r="L63" i="4"/>
  <c r="B63" i="4"/>
  <c r="E63" i="4"/>
  <c r="F63" i="4"/>
  <c r="K63" i="4"/>
  <c r="H63" i="4"/>
  <c r="G63" i="4"/>
  <c r="A346" i="4"/>
  <c r="C346" i="4"/>
  <c r="B346" i="4"/>
  <c r="I346" i="4"/>
  <c r="H346" i="4"/>
  <c r="S346" i="4"/>
  <c r="O346" i="4"/>
  <c r="N346" i="4"/>
  <c r="M346" i="4"/>
  <c r="L346" i="4"/>
  <c r="F346" i="4"/>
  <c r="E346" i="4"/>
  <c r="K346" i="4"/>
  <c r="J346" i="4"/>
  <c r="G346" i="4"/>
  <c r="O187" i="4"/>
  <c r="N187" i="4"/>
  <c r="E187" i="4"/>
  <c r="J187" i="4"/>
  <c r="I187" i="4"/>
  <c r="H187" i="4"/>
  <c r="M187" i="4"/>
  <c r="L187" i="4"/>
  <c r="K187" i="4"/>
  <c r="G187" i="4"/>
  <c r="S187" i="4"/>
  <c r="F187" i="4"/>
  <c r="C187" i="4"/>
  <c r="B187" i="4"/>
  <c r="A187" i="4"/>
  <c r="A187" i="5" s="1"/>
  <c r="H282" i="4"/>
  <c r="K282" i="4"/>
  <c r="J282" i="4"/>
  <c r="F282" i="4"/>
  <c r="E282" i="4"/>
  <c r="A282" i="4"/>
  <c r="M282" i="4"/>
  <c r="L282" i="4"/>
  <c r="I282" i="4"/>
  <c r="G282" i="4"/>
  <c r="S282" i="4"/>
  <c r="O282" i="4"/>
  <c r="N282" i="4"/>
  <c r="C282" i="4"/>
  <c r="B282" i="4"/>
  <c r="E173" i="4"/>
  <c r="O173" i="4"/>
  <c r="M173" i="4"/>
  <c r="N173" i="4"/>
  <c r="I173" i="4"/>
  <c r="H173" i="4"/>
  <c r="S173" i="4"/>
  <c r="L173" i="4"/>
  <c r="K173" i="4"/>
  <c r="J173" i="4"/>
  <c r="F173" i="4"/>
  <c r="C173" i="4"/>
  <c r="B173" i="4"/>
  <c r="G173" i="4"/>
  <c r="A173" i="4"/>
  <c r="A173" i="5" s="1"/>
  <c r="A189" i="4"/>
  <c r="A189" i="5" s="1"/>
  <c r="G189" i="4"/>
  <c r="F189" i="4"/>
  <c r="K189" i="4"/>
  <c r="I189" i="4"/>
  <c r="J189" i="4"/>
  <c r="L189" i="4"/>
  <c r="H189" i="4"/>
  <c r="E189" i="4"/>
  <c r="S189" i="4"/>
  <c r="O189" i="4"/>
  <c r="N189" i="4"/>
  <c r="B189" i="4"/>
  <c r="M189" i="4"/>
  <c r="C189" i="4"/>
  <c r="H59" i="4"/>
  <c r="G59" i="4"/>
  <c r="C59" i="4"/>
  <c r="B59" i="4"/>
  <c r="A59" i="4"/>
  <c r="A59" i="5" s="1"/>
  <c r="S59" i="4"/>
  <c r="M59" i="4"/>
  <c r="L59" i="4"/>
  <c r="N59" i="4"/>
  <c r="O59" i="4"/>
  <c r="K59" i="4"/>
  <c r="J59" i="4"/>
  <c r="I59" i="4"/>
  <c r="F59" i="4"/>
  <c r="E59" i="4"/>
  <c r="M150" i="4"/>
  <c r="L150" i="4"/>
  <c r="C150" i="4"/>
  <c r="B150" i="4"/>
  <c r="S150" i="4"/>
  <c r="O150" i="4"/>
  <c r="N150" i="4"/>
  <c r="K150" i="4"/>
  <c r="J150" i="4"/>
  <c r="I150" i="4"/>
  <c r="G150" i="4"/>
  <c r="A150" i="4"/>
  <c r="A150" i="5" s="1"/>
  <c r="F150" i="4"/>
  <c r="E150" i="4"/>
  <c r="H150" i="4"/>
  <c r="S107" i="4"/>
  <c r="C107" i="4"/>
  <c r="B107" i="4"/>
  <c r="A107" i="4"/>
  <c r="A107" i="5" s="1"/>
  <c r="O107" i="4"/>
  <c r="N107" i="4"/>
  <c r="M107" i="4"/>
  <c r="H107" i="4"/>
  <c r="E107" i="4"/>
  <c r="F107" i="4"/>
  <c r="L107" i="4"/>
  <c r="K107" i="4"/>
  <c r="J107" i="4"/>
  <c r="I107" i="4"/>
  <c r="G107" i="4"/>
  <c r="S269" i="4"/>
  <c r="C269" i="4"/>
  <c r="B269" i="4"/>
  <c r="G269" i="4"/>
  <c r="E269" i="4"/>
  <c r="F269" i="4"/>
  <c r="A269" i="4"/>
  <c r="M269" i="4"/>
  <c r="L269" i="4"/>
  <c r="K269" i="4"/>
  <c r="J269" i="4"/>
  <c r="I269" i="4"/>
  <c r="H269" i="4"/>
  <c r="O269" i="4"/>
  <c r="N269" i="4"/>
  <c r="G165" i="4"/>
  <c r="F165" i="4"/>
  <c r="E165" i="4"/>
  <c r="I165" i="4"/>
  <c r="C165" i="4"/>
  <c r="H165" i="4"/>
  <c r="S165" i="4"/>
  <c r="J165" i="4"/>
  <c r="O165" i="4"/>
  <c r="B165" i="4"/>
  <c r="A165" i="4"/>
  <c r="A165" i="5" s="1"/>
  <c r="N165" i="4"/>
  <c r="M165" i="4"/>
  <c r="L165" i="4"/>
  <c r="K165" i="4"/>
  <c r="O335" i="4"/>
  <c r="C335" i="4"/>
  <c r="S335" i="4"/>
  <c r="B335" i="4"/>
  <c r="F335" i="4"/>
  <c r="A335" i="4"/>
  <c r="E335" i="4"/>
  <c r="L335" i="4"/>
  <c r="J335" i="4"/>
  <c r="G335" i="4"/>
  <c r="I335" i="4"/>
  <c r="H335" i="4"/>
  <c r="N335" i="4"/>
  <c r="M335" i="4"/>
  <c r="K335" i="4"/>
  <c r="H23" i="4"/>
  <c r="J23" i="4"/>
  <c r="G23" i="4"/>
  <c r="I23" i="4"/>
  <c r="A23" i="4"/>
  <c r="A23" i="5" s="1"/>
  <c r="M23" i="4"/>
  <c r="C23" i="4"/>
  <c r="L23" i="4"/>
  <c r="F23" i="4"/>
  <c r="B23" i="4"/>
  <c r="K23" i="4"/>
  <c r="E23" i="4"/>
  <c r="S23" i="4"/>
  <c r="O23" i="4"/>
  <c r="N23" i="4"/>
  <c r="M276" i="4"/>
  <c r="L276" i="4"/>
  <c r="K276" i="4"/>
  <c r="J276" i="4"/>
  <c r="G276" i="4"/>
  <c r="E276" i="4"/>
  <c r="F276" i="4"/>
  <c r="A276" i="4"/>
  <c r="B276" i="4"/>
  <c r="C276" i="4"/>
  <c r="S276" i="4"/>
  <c r="O276" i="4"/>
  <c r="N276" i="4"/>
  <c r="I276" i="4"/>
  <c r="H276" i="4"/>
  <c r="I130" i="4"/>
  <c r="H130" i="4"/>
  <c r="M130" i="4"/>
  <c r="L130" i="4"/>
  <c r="B130" i="4"/>
  <c r="A130" i="4"/>
  <c r="A130" i="5" s="1"/>
  <c r="E130" i="4"/>
  <c r="C130" i="4"/>
  <c r="N130" i="4"/>
  <c r="K130" i="4"/>
  <c r="J130" i="4"/>
  <c r="S130" i="4"/>
  <c r="O130" i="4"/>
  <c r="G130" i="4"/>
  <c r="F130" i="4"/>
  <c r="A216" i="4"/>
  <c r="K216" i="4"/>
  <c r="I216" i="4"/>
  <c r="J216" i="4"/>
  <c r="E216" i="4"/>
  <c r="H216" i="4"/>
  <c r="G216" i="4"/>
  <c r="F216" i="4"/>
  <c r="M216" i="4"/>
  <c r="L216" i="4"/>
  <c r="C216" i="4"/>
  <c r="B216" i="4"/>
  <c r="O216" i="4"/>
  <c r="S216" i="4"/>
  <c r="N216" i="4"/>
  <c r="K324" i="4"/>
  <c r="G324" i="4"/>
  <c r="L324" i="4"/>
  <c r="J324" i="4"/>
  <c r="F324" i="4"/>
  <c r="E324" i="4"/>
  <c r="M324" i="4"/>
  <c r="I324" i="4"/>
  <c r="H324" i="4"/>
  <c r="C324" i="4"/>
  <c r="S324" i="4"/>
  <c r="O324" i="4"/>
  <c r="N324" i="4"/>
  <c r="B324" i="4"/>
  <c r="A324" i="4"/>
  <c r="E191" i="4"/>
  <c r="O191" i="4"/>
  <c r="N191" i="4"/>
  <c r="A191" i="4"/>
  <c r="A191" i="5" s="1"/>
  <c r="I191" i="4"/>
  <c r="H191" i="4"/>
  <c r="G191" i="4"/>
  <c r="L191" i="4"/>
  <c r="F191" i="4"/>
  <c r="C191" i="4"/>
  <c r="K191" i="4"/>
  <c r="J191" i="4"/>
  <c r="S191" i="4"/>
  <c r="M191" i="4"/>
  <c r="B191" i="4"/>
  <c r="O115" i="4"/>
  <c r="N115" i="4"/>
  <c r="S115" i="4"/>
  <c r="I115" i="4"/>
  <c r="G115" i="4"/>
  <c r="H115" i="4"/>
  <c r="F115" i="4"/>
  <c r="E115" i="4"/>
  <c r="K115" i="4"/>
  <c r="B115" i="4"/>
  <c r="J115" i="4"/>
  <c r="C115" i="4"/>
  <c r="A115" i="4"/>
  <c r="A115" i="5" s="1"/>
  <c r="M115" i="4"/>
  <c r="L115" i="4"/>
  <c r="B47" i="4"/>
  <c r="A47" i="4"/>
  <c r="A47" i="5" s="1"/>
  <c r="J47" i="4"/>
  <c r="H47" i="4"/>
  <c r="I47" i="4"/>
  <c r="L47" i="4"/>
  <c r="F47" i="4"/>
  <c r="E47" i="4"/>
  <c r="K47" i="4"/>
  <c r="G47" i="4"/>
  <c r="S47" i="4"/>
  <c r="O47" i="4"/>
  <c r="N47" i="4"/>
  <c r="M47" i="4"/>
  <c r="C47" i="4"/>
  <c r="A90" i="4"/>
  <c r="A90" i="5" s="1"/>
  <c r="K90" i="4"/>
  <c r="J90" i="4"/>
  <c r="B90" i="4"/>
  <c r="O90" i="4"/>
  <c r="L90" i="4"/>
  <c r="G90" i="4"/>
  <c r="C90" i="4"/>
  <c r="N90" i="4"/>
  <c r="E90" i="4"/>
  <c r="M90" i="4"/>
  <c r="I90" i="4"/>
  <c r="H90" i="4"/>
  <c r="F90" i="4"/>
  <c r="S90" i="4"/>
  <c r="A153" i="4"/>
  <c r="A153" i="5" s="1"/>
  <c r="O153" i="4"/>
  <c r="N153" i="4"/>
  <c r="M153" i="4"/>
  <c r="S153" i="4"/>
  <c r="C153" i="4"/>
  <c r="B153" i="4"/>
  <c r="G153" i="4"/>
  <c r="F153" i="4"/>
  <c r="E153" i="4"/>
  <c r="K153" i="4"/>
  <c r="I153" i="4"/>
  <c r="L153" i="4"/>
  <c r="J153" i="4"/>
  <c r="H153" i="4"/>
  <c r="O232" i="4"/>
  <c r="N232" i="4"/>
  <c r="G232" i="4"/>
  <c r="F232" i="4"/>
  <c r="E232" i="4"/>
  <c r="C232" i="4"/>
  <c r="M232" i="4"/>
  <c r="L232" i="4"/>
  <c r="S232" i="4"/>
  <c r="K232" i="4"/>
  <c r="J232" i="4"/>
  <c r="I232" i="4"/>
  <c r="H232" i="4"/>
  <c r="B232" i="4"/>
  <c r="A232" i="4"/>
  <c r="C57" i="4"/>
  <c r="L57" i="4"/>
  <c r="J57" i="4"/>
  <c r="K57" i="4"/>
  <c r="I57" i="4"/>
  <c r="H57" i="4"/>
  <c r="B57" i="4"/>
  <c r="A57" i="4"/>
  <c r="A57" i="5" s="1"/>
  <c r="N57" i="4"/>
  <c r="M57" i="4"/>
  <c r="G57" i="4"/>
  <c r="S57" i="4"/>
  <c r="O57" i="4"/>
  <c r="F57" i="4"/>
  <c r="E57" i="4"/>
  <c r="N44" i="4"/>
  <c r="M44" i="4"/>
  <c r="S44" i="4"/>
  <c r="A44" i="4"/>
  <c r="A44" i="5" s="1"/>
  <c r="O44" i="4"/>
  <c r="E44" i="4"/>
  <c r="L44" i="4"/>
  <c r="C44" i="4"/>
  <c r="B44" i="4"/>
  <c r="G44" i="4"/>
  <c r="H44" i="4"/>
  <c r="K44" i="4"/>
  <c r="J44" i="4"/>
  <c r="I44" i="4"/>
  <c r="F44" i="4"/>
  <c r="S143" i="4"/>
  <c r="M143" i="4"/>
  <c r="L143" i="4"/>
  <c r="O143" i="4"/>
  <c r="G143" i="4"/>
  <c r="F143" i="4"/>
  <c r="E143" i="4"/>
  <c r="N143" i="4"/>
  <c r="K143" i="4"/>
  <c r="C143" i="4"/>
  <c r="B143" i="4"/>
  <c r="A143" i="4"/>
  <c r="A143" i="5" s="1"/>
  <c r="J143" i="4"/>
  <c r="I143" i="4"/>
  <c r="H143" i="4"/>
  <c r="A180" i="4"/>
  <c r="A180" i="5" s="1"/>
  <c r="I180" i="4"/>
  <c r="H180" i="4"/>
  <c r="O180" i="4"/>
  <c r="S180" i="4"/>
  <c r="F180" i="4"/>
  <c r="E180" i="4"/>
  <c r="N180" i="4"/>
  <c r="M180" i="4"/>
  <c r="L180" i="4"/>
  <c r="K180" i="4"/>
  <c r="B180" i="4"/>
  <c r="J180" i="4"/>
  <c r="G180" i="4"/>
  <c r="C180" i="4"/>
  <c r="O344" i="4"/>
  <c r="K344" i="4"/>
  <c r="N344" i="4"/>
  <c r="M344" i="4"/>
  <c r="G344" i="4"/>
  <c r="F344" i="4"/>
  <c r="C344" i="4"/>
  <c r="A344" i="4"/>
  <c r="B344" i="4"/>
  <c r="S344" i="4"/>
  <c r="H344" i="4"/>
  <c r="E344" i="4"/>
  <c r="L344" i="4"/>
  <c r="J344" i="4"/>
  <c r="I344" i="4"/>
  <c r="M69" i="4"/>
  <c r="N69" i="4"/>
  <c r="L69" i="4"/>
  <c r="E69" i="4"/>
  <c r="C69" i="4"/>
  <c r="S69" i="4"/>
  <c r="B69" i="4"/>
  <c r="O69" i="4"/>
  <c r="J69" i="4"/>
  <c r="I69" i="4"/>
  <c r="H69" i="4"/>
  <c r="G69" i="4"/>
  <c r="F69" i="4"/>
  <c r="A69" i="4"/>
  <c r="A69" i="5" s="1"/>
  <c r="K69" i="4"/>
  <c r="B14" i="4"/>
  <c r="C14" i="4"/>
  <c r="G14" i="4"/>
  <c r="F14" i="4"/>
  <c r="S14" i="4"/>
  <c r="O14" i="4"/>
  <c r="E14" i="4"/>
  <c r="A14" i="4"/>
  <c r="A14" i="5" s="1"/>
  <c r="M14" i="4"/>
  <c r="L14" i="4"/>
  <c r="K14" i="4"/>
  <c r="J14" i="4"/>
  <c r="I14" i="4"/>
  <c r="H14" i="4"/>
  <c r="N14" i="4"/>
  <c r="E209" i="4"/>
  <c r="K209" i="4"/>
  <c r="J209" i="4"/>
  <c r="I209" i="4"/>
  <c r="G209" i="4"/>
  <c r="H209" i="4"/>
  <c r="F209" i="4"/>
  <c r="C209" i="4"/>
  <c r="S209" i="4"/>
  <c r="N209" i="4"/>
  <c r="B209" i="4"/>
  <c r="A209" i="4"/>
  <c r="M209" i="4"/>
  <c r="L209" i="4"/>
  <c r="O209" i="4"/>
  <c r="S3" i="4"/>
  <c r="I3" i="4"/>
  <c r="H3" i="4"/>
  <c r="A3" i="4"/>
  <c r="A3" i="5" s="1"/>
  <c r="F3" i="4"/>
  <c r="B3" i="4"/>
  <c r="E3" i="4"/>
  <c r="C3" i="4"/>
  <c r="O3" i="4"/>
  <c r="N3" i="4"/>
  <c r="M3" i="4"/>
  <c r="L3" i="4"/>
  <c r="K3" i="4"/>
  <c r="J3" i="4"/>
  <c r="G3" i="4"/>
  <c r="M96" i="4"/>
  <c r="L96" i="4"/>
  <c r="S96" i="4"/>
  <c r="O96" i="4"/>
  <c r="I96" i="4"/>
  <c r="H96" i="4"/>
  <c r="A96" i="4"/>
  <c r="A96" i="5" s="1"/>
  <c r="C96" i="4"/>
  <c r="N96" i="4"/>
  <c r="B96" i="4"/>
  <c r="K96" i="4"/>
  <c r="J96" i="4"/>
  <c r="G96" i="4"/>
  <c r="F96" i="4"/>
  <c r="E96" i="4"/>
  <c r="N35" i="4"/>
  <c r="M35" i="4"/>
  <c r="B35" i="4"/>
  <c r="A35" i="4"/>
  <c r="A35" i="5" s="1"/>
  <c r="O35" i="4"/>
  <c r="G35" i="4"/>
  <c r="C35" i="4"/>
  <c r="L35" i="4"/>
  <c r="F35" i="4"/>
  <c r="E35" i="4"/>
  <c r="K35" i="4"/>
  <c r="J35" i="4"/>
  <c r="I35" i="4"/>
  <c r="H35" i="4"/>
  <c r="S35" i="4"/>
  <c r="G201" i="4"/>
  <c r="F201" i="4"/>
  <c r="S201" i="4"/>
  <c r="A201" i="4"/>
  <c r="A201" i="5" s="1"/>
  <c r="C201" i="4"/>
  <c r="B201" i="4"/>
  <c r="L201" i="4"/>
  <c r="K201" i="4"/>
  <c r="J201" i="4"/>
  <c r="I201" i="4"/>
  <c r="N201" i="4"/>
  <c r="M201" i="4"/>
  <c r="H201" i="4"/>
  <c r="E201" i="4"/>
  <c r="O201" i="4"/>
  <c r="S242" i="4"/>
  <c r="I242" i="4"/>
  <c r="H242" i="4"/>
  <c r="E242" i="4"/>
  <c r="C242" i="4"/>
  <c r="O242" i="4"/>
  <c r="N242" i="4"/>
  <c r="M242" i="4"/>
  <c r="F242" i="4"/>
  <c r="B242" i="4"/>
  <c r="A242" i="4"/>
  <c r="L242" i="4"/>
  <c r="K242" i="4"/>
  <c r="J242" i="4"/>
  <c r="G242" i="4"/>
  <c r="A72" i="4"/>
  <c r="A72" i="5" s="1"/>
  <c r="C72" i="4"/>
  <c r="S72" i="4"/>
  <c r="L72" i="4"/>
  <c r="B72" i="4"/>
  <c r="F72" i="4"/>
  <c r="O72" i="4"/>
  <c r="N72" i="4"/>
  <c r="E72" i="4"/>
  <c r="M72" i="4"/>
  <c r="K72" i="4"/>
  <c r="J72" i="4"/>
  <c r="I72" i="4"/>
  <c r="H72" i="4"/>
  <c r="G72" i="4"/>
  <c r="F58" i="4"/>
  <c r="E58" i="4"/>
  <c r="S58" i="4"/>
  <c r="N58" i="4"/>
  <c r="O58" i="4"/>
  <c r="K58" i="4"/>
  <c r="M58" i="4"/>
  <c r="L58" i="4"/>
  <c r="I58" i="4"/>
  <c r="A58" i="4"/>
  <c r="A58" i="5" s="1"/>
  <c r="H58" i="4"/>
  <c r="G58" i="4"/>
  <c r="C58" i="4"/>
  <c r="B58" i="4"/>
  <c r="J58" i="4"/>
  <c r="N53" i="4"/>
  <c r="M53" i="4"/>
  <c r="S53" i="4"/>
  <c r="L53" i="4"/>
  <c r="O53" i="4"/>
  <c r="B53" i="4"/>
  <c r="A53" i="4"/>
  <c r="A53" i="5" s="1"/>
  <c r="J53" i="4"/>
  <c r="I53" i="4"/>
  <c r="H53" i="4"/>
  <c r="F53" i="4"/>
  <c r="E53" i="4"/>
  <c r="G53" i="4"/>
  <c r="K53" i="4"/>
  <c r="C53" i="4"/>
  <c r="L113" i="5"/>
  <c r="K113" i="5"/>
  <c r="J113" i="5"/>
  <c r="I113" i="5"/>
  <c r="E113" i="5"/>
  <c r="D113" i="5"/>
  <c r="C113" i="5"/>
  <c r="G113" i="5"/>
  <c r="F113" i="5"/>
  <c r="B113" i="5"/>
  <c r="H113" i="5"/>
  <c r="S206" i="4"/>
  <c r="K206" i="4"/>
  <c r="I206" i="4"/>
  <c r="J206" i="4"/>
  <c r="B206" i="4"/>
  <c r="A206" i="4"/>
  <c r="N206" i="4"/>
  <c r="M206" i="4"/>
  <c r="L206" i="4"/>
  <c r="E206" i="4"/>
  <c r="C206" i="4"/>
  <c r="O206" i="4"/>
  <c r="F206" i="4"/>
  <c r="H206" i="4"/>
  <c r="G206" i="4"/>
  <c r="L306" i="4"/>
  <c r="O306" i="4"/>
  <c r="N306" i="4"/>
  <c r="F306" i="4"/>
  <c r="E306" i="4"/>
  <c r="J306" i="4"/>
  <c r="H306" i="4"/>
  <c r="I306" i="4"/>
  <c r="G306" i="4"/>
  <c r="C306" i="4"/>
  <c r="B306" i="4"/>
  <c r="A306" i="4"/>
  <c r="S306" i="4"/>
  <c r="M306" i="4"/>
  <c r="K306" i="4"/>
  <c r="A252" i="4"/>
  <c r="K252" i="4"/>
  <c r="J252" i="4"/>
  <c r="E252" i="4"/>
  <c r="C252" i="4"/>
  <c r="B252" i="4"/>
  <c r="S252" i="4"/>
  <c r="O252" i="4"/>
  <c r="N252" i="4"/>
  <c r="H252" i="4"/>
  <c r="G252" i="4"/>
  <c r="F252" i="4"/>
  <c r="L252" i="4"/>
  <c r="M252" i="4"/>
  <c r="I252" i="4"/>
  <c r="L297" i="4"/>
  <c r="J297" i="4"/>
  <c r="I297" i="4"/>
  <c r="H297" i="4"/>
  <c r="G297" i="4"/>
  <c r="C297" i="4"/>
  <c r="O297" i="4"/>
  <c r="N297" i="4"/>
  <c r="M297" i="4"/>
  <c r="K297" i="4"/>
  <c r="B297" i="4"/>
  <c r="A297" i="4"/>
  <c r="S297" i="4"/>
  <c r="F297" i="4"/>
  <c r="E297" i="4"/>
  <c r="S54" i="4"/>
  <c r="O54" i="4"/>
  <c r="I54" i="4"/>
  <c r="H54" i="4"/>
  <c r="G54" i="4"/>
  <c r="A54" i="4"/>
  <c r="A54" i="5" s="1"/>
  <c r="F54" i="4"/>
  <c r="E54" i="4"/>
  <c r="C54" i="4"/>
  <c r="B54" i="4"/>
  <c r="N54" i="4"/>
  <c r="M54" i="4"/>
  <c r="L54" i="4"/>
  <c r="K54" i="4"/>
  <c r="J54" i="4"/>
  <c r="B13" i="4"/>
  <c r="A13" i="4"/>
  <c r="A13" i="5" s="1"/>
  <c r="J13" i="4"/>
  <c r="I13" i="4"/>
  <c r="H13" i="4"/>
  <c r="N13" i="4"/>
  <c r="L13" i="4"/>
  <c r="F13" i="4"/>
  <c r="E13" i="4"/>
  <c r="G13" i="4"/>
  <c r="S13" i="4"/>
  <c r="O13" i="4"/>
  <c r="M13" i="4"/>
  <c r="K13" i="4"/>
  <c r="C13" i="4"/>
  <c r="S12" i="4"/>
  <c r="O12" i="4"/>
  <c r="N12" i="4"/>
  <c r="C12" i="4"/>
  <c r="B12" i="4"/>
  <c r="A12" i="4"/>
  <c r="A12" i="5" s="1"/>
  <c r="H12" i="4"/>
  <c r="E12" i="4"/>
  <c r="G12" i="4"/>
  <c r="F12" i="4"/>
  <c r="M12" i="4"/>
  <c r="L12" i="4"/>
  <c r="K12" i="4"/>
  <c r="J12" i="4"/>
  <c r="I12" i="4"/>
  <c r="A126" i="4"/>
  <c r="A126" i="5" s="1"/>
  <c r="C126" i="4"/>
  <c r="B126" i="4"/>
  <c r="O126" i="4"/>
  <c r="M126" i="4"/>
  <c r="N126" i="4"/>
  <c r="E126" i="4"/>
  <c r="J126" i="4"/>
  <c r="I126" i="4"/>
  <c r="G126" i="4"/>
  <c r="H126" i="4"/>
  <c r="F126" i="4"/>
  <c r="S126" i="4"/>
  <c r="L126" i="4"/>
  <c r="K126" i="4"/>
  <c r="I121" i="4"/>
  <c r="H121" i="4"/>
  <c r="A121" i="4"/>
  <c r="A121" i="5" s="1"/>
  <c r="E121" i="4"/>
  <c r="C121" i="4"/>
  <c r="S121" i="4"/>
  <c r="F121" i="4"/>
  <c r="O121" i="4"/>
  <c r="B121" i="4"/>
  <c r="J121" i="4"/>
  <c r="K121" i="4"/>
  <c r="N121" i="4"/>
  <c r="M121" i="4"/>
  <c r="L121" i="4"/>
  <c r="G121" i="4"/>
  <c r="M222" i="4"/>
  <c r="L222" i="4"/>
  <c r="E222" i="4"/>
  <c r="G222" i="4"/>
  <c r="C222" i="4"/>
  <c r="F222" i="4"/>
  <c r="B222" i="4"/>
  <c r="A222" i="4"/>
  <c r="J222" i="4"/>
  <c r="I222" i="4"/>
  <c r="H222" i="4"/>
  <c r="N222" i="4"/>
  <c r="K222" i="4"/>
  <c r="S222" i="4"/>
  <c r="O222" i="4"/>
  <c r="H295" i="4"/>
  <c r="C295" i="4"/>
  <c r="M295" i="4"/>
  <c r="L295" i="4"/>
  <c r="F295" i="4"/>
  <c r="E295" i="4"/>
  <c r="B295" i="4"/>
  <c r="A295" i="4"/>
  <c r="S295" i="4"/>
  <c r="O295" i="4"/>
  <c r="N295" i="4"/>
  <c r="K295" i="4"/>
  <c r="J295" i="4"/>
  <c r="I295" i="4"/>
  <c r="G295" i="4"/>
  <c r="O70" i="4"/>
  <c r="S70" i="4"/>
  <c r="J70" i="4"/>
  <c r="H70" i="4"/>
  <c r="I70" i="4"/>
  <c r="A70" i="4"/>
  <c r="A70" i="5" s="1"/>
  <c r="C70" i="4"/>
  <c r="B70" i="4"/>
  <c r="N70" i="4"/>
  <c r="M70" i="4"/>
  <c r="L70" i="4"/>
  <c r="E70" i="4"/>
  <c r="K70" i="4"/>
  <c r="G70" i="4"/>
  <c r="F70" i="4"/>
  <c r="C109" i="4"/>
  <c r="B109" i="4"/>
  <c r="K109" i="4"/>
  <c r="J109" i="4"/>
  <c r="O109" i="4"/>
  <c r="M109" i="4"/>
  <c r="N109" i="4"/>
  <c r="S109" i="4"/>
  <c r="I109" i="4"/>
  <c r="F109" i="4"/>
  <c r="E109" i="4"/>
  <c r="H109" i="4"/>
  <c r="G109" i="4"/>
  <c r="L109" i="4"/>
  <c r="A109" i="4"/>
  <c r="A109" i="5" s="1"/>
  <c r="I112" i="4"/>
  <c r="H112" i="4"/>
  <c r="C112" i="4"/>
  <c r="B112" i="4"/>
  <c r="M112" i="4"/>
  <c r="K112" i="4"/>
  <c r="L112" i="4"/>
  <c r="N112" i="4"/>
  <c r="A112" i="4"/>
  <c r="A112" i="5" s="1"/>
  <c r="F112" i="4"/>
  <c r="S112" i="4"/>
  <c r="O112" i="4"/>
  <c r="J112" i="4"/>
  <c r="G112" i="4"/>
  <c r="E112" i="4"/>
  <c r="M334" i="4"/>
  <c r="L334" i="4"/>
  <c r="K334" i="4"/>
  <c r="O334" i="4"/>
  <c r="N334" i="4"/>
  <c r="E334" i="4"/>
  <c r="C334" i="4"/>
  <c r="B334" i="4"/>
  <c r="A334" i="4"/>
  <c r="S334" i="4"/>
  <c r="J334" i="4"/>
  <c r="F334" i="4"/>
  <c r="I334" i="4"/>
  <c r="H334" i="4"/>
  <c r="G334" i="4"/>
  <c r="J60" i="4"/>
  <c r="I60" i="4"/>
  <c r="B60" i="4"/>
  <c r="C60" i="4"/>
  <c r="L60" i="4"/>
  <c r="K60" i="4"/>
  <c r="G60" i="4"/>
  <c r="O60" i="4"/>
  <c r="N60" i="4"/>
  <c r="M60" i="4"/>
  <c r="E60" i="4"/>
  <c r="S60" i="4"/>
  <c r="H60" i="4"/>
  <c r="F60" i="4"/>
  <c r="A60" i="4"/>
  <c r="A60" i="5" s="1"/>
  <c r="B301" i="4"/>
  <c r="C301" i="4"/>
  <c r="J301" i="4"/>
  <c r="I301" i="4"/>
  <c r="N301" i="4"/>
  <c r="M301" i="4"/>
  <c r="H301" i="4"/>
  <c r="F301" i="4"/>
  <c r="G301" i="4"/>
  <c r="E301" i="4"/>
  <c r="A301" i="4"/>
  <c r="S301" i="4"/>
  <c r="O301" i="4"/>
  <c r="L301" i="4"/>
  <c r="K301" i="4"/>
  <c r="E330" i="4"/>
  <c r="G330" i="4"/>
  <c r="S330" i="4"/>
  <c r="O330" i="4"/>
  <c r="N330" i="4"/>
  <c r="M330" i="4"/>
  <c r="B330" i="4"/>
  <c r="A330" i="4"/>
  <c r="C330" i="4"/>
  <c r="K330" i="4"/>
  <c r="J330" i="4"/>
  <c r="I330" i="4"/>
  <c r="H330" i="4"/>
  <c r="L330" i="4"/>
  <c r="F330" i="4"/>
  <c r="C253" i="4"/>
  <c r="B253" i="4"/>
  <c r="O253" i="4"/>
  <c r="N253" i="4"/>
  <c r="K253" i="4"/>
  <c r="I253" i="4"/>
  <c r="J253" i="4"/>
  <c r="S253" i="4"/>
  <c r="M253" i="4"/>
  <c r="H253" i="4"/>
  <c r="G253" i="4"/>
  <c r="F253" i="4"/>
  <c r="L253" i="4"/>
  <c r="E253" i="4"/>
  <c r="A253" i="4"/>
  <c r="H7" i="4"/>
  <c r="F7" i="4"/>
  <c r="G7" i="4"/>
  <c r="K7" i="4"/>
  <c r="J7" i="4"/>
  <c r="I7" i="4"/>
  <c r="E7" i="4"/>
  <c r="S7" i="4"/>
  <c r="O7" i="4"/>
  <c r="N7" i="4"/>
  <c r="M7" i="4"/>
  <c r="L7" i="4"/>
  <c r="C7" i="4"/>
  <c r="B7" i="4"/>
  <c r="A7" i="4"/>
  <c r="A7" i="5" s="1"/>
  <c r="C172" i="4"/>
  <c r="B172" i="4"/>
  <c r="O172" i="4"/>
  <c r="N172" i="4"/>
  <c r="I172" i="4"/>
  <c r="G172" i="4"/>
  <c r="H172" i="4"/>
  <c r="E172" i="4"/>
  <c r="A172" i="4"/>
  <c r="A172" i="5" s="1"/>
  <c r="F172" i="4"/>
  <c r="K172" i="4"/>
  <c r="L172" i="4"/>
  <c r="S172" i="4"/>
  <c r="M172" i="4"/>
  <c r="J172" i="4"/>
  <c r="G138" i="4"/>
  <c r="F138" i="4"/>
  <c r="M138" i="4"/>
  <c r="L138" i="4"/>
  <c r="E138" i="4"/>
  <c r="C138" i="4"/>
  <c r="O138" i="4"/>
  <c r="N138" i="4"/>
  <c r="K138" i="4"/>
  <c r="S138" i="4"/>
  <c r="A138" i="4"/>
  <c r="A138" i="5" s="1"/>
  <c r="B138" i="4"/>
  <c r="J138" i="4"/>
  <c r="I138" i="4"/>
  <c r="H138" i="4"/>
  <c r="G246" i="4"/>
  <c r="F246" i="4"/>
  <c r="E246" i="4"/>
  <c r="K246" i="4"/>
  <c r="I246" i="4"/>
  <c r="J246" i="4"/>
  <c r="S246" i="4"/>
  <c r="B246" i="4"/>
  <c r="A246" i="4"/>
  <c r="O246" i="4"/>
  <c r="N246" i="4"/>
  <c r="M246" i="4"/>
  <c r="L246" i="4"/>
  <c r="H246" i="4"/>
  <c r="C246" i="4"/>
  <c r="S327" i="4"/>
  <c r="C327" i="4"/>
  <c r="O327" i="4"/>
  <c r="N327" i="4"/>
  <c r="L327" i="4"/>
  <c r="M327" i="4"/>
  <c r="K327" i="4"/>
  <c r="J327" i="4"/>
  <c r="I327" i="4"/>
  <c r="H327" i="4"/>
  <c r="G327" i="4"/>
  <c r="F327" i="4"/>
  <c r="E327" i="4"/>
  <c r="A327" i="4"/>
  <c r="B327" i="4"/>
  <c r="O250" i="4"/>
  <c r="N250" i="4"/>
  <c r="C250" i="4"/>
  <c r="B250" i="4"/>
  <c r="M250" i="4"/>
  <c r="K250" i="4"/>
  <c r="L250" i="4"/>
  <c r="G250" i="4"/>
  <c r="F250" i="4"/>
  <c r="A250" i="4"/>
  <c r="J250" i="4"/>
  <c r="I250" i="4"/>
  <c r="S250" i="4"/>
  <c r="H250" i="4"/>
  <c r="E250" i="4"/>
  <c r="N307" i="4"/>
  <c r="C307" i="4"/>
  <c r="B307" i="4"/>
  <c r="M307" i="4"/>
  <c r="L307" i="4"/>
  <c r="S307" i="4"/>
  <c r="O307" i="4"/>
  <c r="I307" i="4"/>
  <c r="F307" i="4"/>
  <c r="E307" i="4"/>
  <c r="H307" i="4"/>
  <c r="G307" i="4"/>
  <c r="K307" i="4"/>
  <c r="J307" i="4"/>
  <c r="A307" i="4"/>
  <c r="A144" i="4"/>
  <c r="A144" i="5" s="1"/>
  <c r="S144" i="4"/>
  <c r="C144" i="4"/>
  <c r="B144" i="4"/>
  <c r="I144" i="4"/>
  <c r="H144" i="4"/>
  <c r="N144" i="4"/>
  <c r="K144" i="4"/>
  <c r="J144" i="4"/>
  <c r="M144" i="4"/>
  <c r="L144" i="4"/>
  <c r="O144" i="4"/>
  <c r="G144" i="4"/>
  <c r="F144" i="4"/>
  <c r="E144" i="4"/>
  <c r="S2" i="4"/>
  <c r="N2" i="4"/>
  <c r="O2" i="4"/>
  <c r="B13" i="2" s="1"/>
  <c r="B14" i="2" s="1"/>
  <c r="C2" i="4"/>
  <c r="M2" i="4"/>
  <c r="L2" i="4"/>
  <c r="J2" i="4"/>
  <c r="G2" i="4"/>
  <c r="F2" i="4"/>
  <c r="B12" i="2"/>
  <c r="H2" i="4"/>
  <c r="K2" i="4"/>
  <c r="I2" i="4"/>
  <c r="E2" i="4"/>
  <c r="B2" i="4"/>
  <c r="A2" i="4"/>
  <c r="A2" i="5" s="1"/>
  <c r="F22" i="4"/>
  <c r="G22" i="4"/>
  <c r="E22" i="4"/>
  <c r="M22" i="4"/>
  <c r="L22" i="4"/>
  <c r="S22" i="4"/>
  <c r="O22" i="4"/>
  <c r="K22" i="4"/>
  <c r="J22" i="4"/>
  <c r="N22" i="4"/>
  <c r="I22" i="4"/>
  <c r="H22" i="4"/>
  <c r="C22" i="4"/>
  <c r="B22" i="4"/>
  <c r="A22" i="4"/>
  <c r="A22" i="5" s="1"/>
  <c r="E101" i="4"/>
  <c r="S101" i="4"/>
  <c r="G101" i="4"/>
  <c r="C101" i="4"/>
  <c r="F101" i="4"/>
  <c r="M101" i="4"/>
  <c r="L101" i="4"/>
  <c r="A101" i="4"/>
  <c r="A101" i="5" s="1"/>
  <c r="O101" i="4"/>
  <c r="N101" i="4"/>
  <c r="K101" i="4"/>
  <c r="J101" i="4"/>
  <c r="I101" i="4"/>
  <c r="H101" i="4"/>
  <c r="B101" i="4"/>
  <c r="A71" i="4"/>
  <c r="A71" i="5" s="1"/>
  <c r="O71" i="4"/>
  <c r="M71" i="4"/>
  <c r="N71" i="4"/>
  <c r="I71" i="4"/>
  <c r="H71" i="4"/>
  <c r="B71" i="4"/>
  <c r="S71" i="4"/>
  <c r="L71" i="4"/>
  <c r="G71" i="4"/>
  <c r="E71" i="4"/>
  <c r="C71" i="4"/>
  <c r="K71" i="4"/>
  <c r="J71" i="4"/>
  <c r="F71" i="4"/>
  <c r="F49" i="4"/>
  <c r="E49" i="4"/>
  <c r="S49" i="4"/>
  <c r="O49" i="4"/>
  <c r="N49" i="4"/>
  <c r="L49" i="4"/>
  <c r="J49" i="4"/>
  <c r="G49" i="4"/>
  <c r="C49" i="4"/>
  <c r="M49" i="4"/>
  <c r="H49" i="4"/>
  <c r="K49" i="4"/>
  <c r="I49" i="4"/>
  <c r="B49" i="4"/>
  <c r="A49" i="4"/>
  <c r="A49" i="5" s="1"/>
  <c r="L43" i="4"/>
  <c r="K43" i="4"/>
  <c r="N43" i="4"/>
  <c r="J43" i="4"/>
  <c r="M43" i="4"/>
  <c r="S43" i="4"/>
  <c r="F43" i="4"/>
  <c r="E43" i="4"/>
  <c r="H43" i="4"/>
  <c r="B43" i="4"/>
  <c r="A43" i="4"/>
  <c r="A43" i="5" s="1"/>
  <c r="G43" i="4"/>
  <c r="C43" i="4"/>
  <c r="O43" i="4"/>
  <c r="I43" i="4"/>
  <c r="E321" i="4"/>
  <c r="A321" i="4"/>
  <c r="S321" i="4"/>
  <c r="O321" i="4"/>
  <c r="H321" i="4"/>
  <c r="G321" i="4"/>
  <c r="F321" i="4"/>
  <c r="C321" i="4"/>
  <c r="B321" i="4"/>
  <c r="K321" i="4"/>
  <c r="J321" i="4"/>
  <c r="I321" i="4"/>
  <c r="M321" i="4"/>
  <c r="N321" i="4"/>
  <c r="L321" i="4"/>
  <c r="G84" i="4"/>
  <c r="F84" i="4"/>
  <c r="E84" i="4"/>
  <c r="C84" i="4"/>
  <c r="A84" i="4"/>
  <c r="A84" i="5" s="1"/>
  <c r="B84" i="4"/>
  <c r="M84" i="4"/>
  <c r="L84" i="4"/>
  <c r="S84" i="4"/>
  <c r="O84" i="4"/>
  <c r="N84" i="4"/>
  <c r="H84" i="4"/>
  <c r="K84" i="4"/>
  <c r="J84" i="4"/>
  <c r="I84" i="4"/>
  <c r="E272" i="4"/>
  <c r="O272" i="4"/>
  <c r="N272" i="4"/>
  <c r="C272" i="4"/>
  <c r="A272" i="4"/>
  <c r="B272" i="4"/>
  <c r="K272" i="4"/>
  <c r="J272" i="4"/>
  <c r="F272" i="4"/>
  <c r="S272" i="4"/>
  <c r="M272" i="4"/>
  <c r="L272" i="4"/>
  <c r="I272" i="4"/>
  <c r="H272" i="4"/>
  <c r="G272" i="4"/>
  <c r="M186" i="4"/>
  <c r="L186" i="4"/>
  <c r="O186" i="4"/>
  <c r="N186" i="4"/>
  <c r="K186" i="4"/>
  <c r="I186" i="4"/>
  <c r="J186" i="4"/>
  <c r="S186" i="4"/>
  <c r="C186" i="4"/>
  <c r="H186" i="4"/>
  <c r="B186" i="4"/>
  <c r="A186" i="4"/>
  <c r="A186" i="5" s="1"/>
  <c r="G186" i="4"/>
  <c r="F186" i="4"/>
  <c r="E186" i="4"/>
  <c r="S80" i="4"/>
  <c r="I80" i="4"/>
  <c r="H80" i="4"/>
  <c r="A80" i="4"/>
  <c r="A80" i="5" s="1"/>
  <c r="C80" i="4"/>
  <c r="J80" i="4"/>
  <c r="E80" i="4"/>
  <c r="O80" i="4"/>
  <c r="F80" i="4"/>
  <c r="N80" i="4"/>
  <c r="M80" i="4"/>
  <c r="L80" i="4"/>
  <c r="K80" i="4"/>
  <c r="G80" i="4"/>
  <c r="B80" i="4"/>
  <c r="M249" i="4"/>
  <c r="L249" i="4"/>
  <c r="G249" i="4"/>
  <c r="E249" i="4"/>
  <c r="F249" i="4"/>
  <c r="C249" i="4"/>
  <c r="B249" i="4"/>
  <c r="A249" i="4"/>
  <c r="S249" i="4"/>
  <c r="O249" i="4"/>
  <c r="N249" i="4"/>
  <c r="K249" i="4"/>
  <c r="J249" i="4"/>
  <c r="I249" i="4"/>
  <c r="H249" i="4"/>
  <c r="O142" i="4"/>
  <c r="N142" i="4"/>
  <c r="I142" i="4"/>
  <c r="H142" i="4"/>
  <c r="K142" i="4"/>
  <c r="G142" i="4"/>
  <c r="J142" i="4"/>
  <c r="S142" i="4"/>
  <c r="M142" i="4"/>
  <c r="A142" i="4"/>
  <c r="A142" i="5" s="1"/>
  <c r="C142" i="4"/>
  <c r="B142" i="4"/>
  <c r="L142" i="4"/>
  <c r="F142" i="4"/>
  <c r="E142" i="4"/>
  <c r="S125" i="4"/>
  <c r="I125" i="4"/>
  <c r="G125" i="4"/>
  <c r="H125" i="4"/>
  <c r="L125" i="4"/>
  <c r="K125" i="4"/>
  <c r="O125" i="4"/>
  <c r="F125" i="4"/>
  <c r="E125" i="4"/>
  <c r="M125" i="4"/>
  <c r="B125" i="4"/>
  <c r="A125" i="4"/>
  <c r="A125" i="5" s="1"/>
  <c r="C125" i="4"/>
  <c r="N125" i="4"/>
  <c r="J125" i="4"/>
  <c r="A234" i="4"/>
  <c r="O234" i="4"/>
  <c r="N234" i="4"/>
  <c r="S234" i="4"/>
  <c r="M234" i="4"/>
  <c r="C234" i="4"/>
  <c r="B234" i="4"/>
  <c r="H234" i="4"/>
  <c r="G234" i="4"/>
  <c r="F234" i="4"/>
  <c r="E234" i="4"/>
  <c r="J234" i="4"/>
  <c r="K234" i="4"/>
  <c r="L234" i="4"/>
  <c r="I234" i="4"/>
  <c r="K266" i="4"/>
  <c r="J266" i="4"/>
  <c r="I266" i="4"/>
  <c r="H266" i="4"/>
  <c r="G266" i="4"/>
  <c r="E266" i="4"/>
  <c r="F266" i="4"/>
  <c r="L266" i="4"/>
  <c r="C266" i="4"/>
  <c r="B266" i="4"/>
  <c r="A266" i="4"/>
  <c r="N266" i="4"/>
  <c r="S266" i="4"/>
  <c r="O266" i="4"/>
  <c r="M266" i="4"/>
  <c r="J42" i="4"/>
  <c r="I42" i="4"/>
  <c r="H42" i="4"/>
  <c r="F42" i="4"/>
  <c r="G42" i="4"/>
  <c r="E42" i="4"/>
  <c r="B42" i="4"/>
  <c r="A42" i="4"/>
  <c r="A42" i="5" s="1"/>
  <c r="S42" i="4"/>
  <c r="O42" i="4"/>
  <c r="N42" i="4"/>
  <c r="M42" i="4"/>
  <c r="L42" i="4"/>
  <c r="K42" i="4"/>
  <c r="C42" i="4"/>
  <c r="G192" i="4"/>
  <c r="F192" i="4"/>
  <c r="I192" i="4"/>
  <c r="E192" i="4"/>
  <c r="H192" i="4"/>
  <c r="C192" i="4"/>
  <c r="K192" i="4"/>
  <c r="J192" i="4"/>
  <c r="B192" i="4"/>
  <c r="A192" i="4"/>
  <c r="A192" i="5" s="1"/>
  <c r="O192" i="4"/>
  <c r="N192" i="4"/>
  <c r="L192" i="4"/>
  <c r="M192" i="4"/>
  <c r="S192" i="4"/>
  <c r="O178" i="4"/>
  <c r="N178" i="4"/>
  <c r="A178" i="4"/>
  <c r="A178" i="5" s="1"/>
  <c r="E178" i="4"/>
  <c r="C178" i="4"/>
  <c r="K178" i="4"/>
  <c r="J178" i="4"/>
  <c r="L178" i="4"/>
  <c r="I178" i="4"/>
  <c r="H178" i="4"/>
  <c r="G178" i="4"/>
  <c r="S178" i="4"/>
  <c r="M178" i="4"/>
  <c r="F178" i="4"/>
  <c r="B178" i="4"/>
  <c r="J51" i="4"/>
  <c r="I51" i="4"/>
  <c r="F51" i="4"/>
  <c r="E51" i="4"/>
  <c r="K51" i="4"/>
  <c r="H51" i="4"/>
  <c r="S51" i="4"/>
  <c r="O51" i="4"/>
  <c r="M51" i="4"/>
  <c r="C51" i="4"/>
  <c r="B51" i="4"/>
  <c r="L51" i="4"/>
  <c r="G51" i="4"/>
  <c r="N51" i="4"/>
  <c r="A51" i="4"/>
  <c r="A51" i="5" s="1"/>
  <c r="A117" i="4"/>
  <c r="A117" i="5" s="1"/>
  <c r="E117" i="4"/>
  <c r="F117" i="4"/>
  <c r="C117" i="4"/>
  <c r="O117" i="4"/>
  <c r="I117" i="4"/>
  <c r="B117" i="4"/>
  <c r="N117" i="4"/>
  <c r="H117" i="4"/>
  <c r="G117" i="4"/>
  <c r="M117" i="4"/>
  <c r="L117" i="4"/>
  <c r="K117" i="4"/>
  <c r="J117" i="4"/>
  <c r="S117" i="4"/>
  <c r="F294" i="4"/>
  <c r="N294" i="4"/>
  <c r="M294" i="4"/>
  <c r="E294" i="4"/>
  <c r="L294" i="4"/>
  <c r="J294" i="4"/>
  <c r="K294" i="4"/>
  <c r="C294" i="4"/>
  <c r="B294" i="4"/>
  <c r="I294" i="4"/>
  <c r="H294" i="4"/>
  <c r="G294" i="4"/>
  <c r="S294" i="4"/>
  <c r="O294" i="4"/>
  <c r="A294" i="4"/>
  <c r="E137" i="4"/>
  <c r="I137" i="4"/>
  <c r="H137" i="4"/>
  <c r="L137" i="4"/>
  <c r="K137" i="4"/>
  <c r="M137" i="4"/>
  <c r="J137" i="4"/>
  <c r="G137" i="4"/>
  <c r="A137" i="4"/>
  <c r="A137" i="5" s="1"/>
  <c r="O137" i="4"/>
  <c r="N137" i="4"/>
  <c r="F137" i="4"/>
  <c r="C137" i="4"/>
  <c r="B137" i="4"/>
  <c r="S137" i="4"/>
  <c r="G349" i="4"/>
  <c r="H349" i="4"/>
  <c r="O349" i="4"/>
  <c r="N349" i="4"/>
  <c r="E349" i="4"/>
  <c r="C349" i="4"/>
  <c r="B349" i="4"/>
  <c r="K349" i="4"/>
  <c r="I349" i="4"/>
  <c r="J349" i="4"/>
  <c r="F349" i="4"/>
  <c r="A349" i="4"/>
  <c r="S349" i="4"/>
  <c r="M349" i="4"/>
  <c r="L349" i="4"/>
  <c r="C329" i="4"/>
  <c r="L329" i="4"/>
  <c r="K329" i="4"/>
  <c r="H329" i="4"/>
  <c r="G329" i="4"/>
  <c r="N329" i="4"/>
  <c r="J329" i="4"/>
  <c r="M329" i="4"/>
  <c r="S329" i="4"/>
  <c r="O329" i="4"/>
  <c r="A329" i="4"/>
  <c r="I329" i="4"/>
  <c r="F329" i="4"/>
  <c r="E329" i="4"/>
  <c r="B329" i="4"/>
  <c r="K221" i="4"/>
  <c r="J221" i="4"/>
  <c r="A221" i="4"/>
  <c r="G221" i="4"/>
  <c r="F221" i="4"/>
  <c r="S221" i="4"/>
  <c r="O221" i="4"/>
  <c r="H221" i="4"/>
  <c r="C221" i="4"/>
  <c r="B221" i="4"/>
  <c r="E221" i="4"/>
  <c r="N221" i="4"/>
  <c r="M221" i="4"/>
  <c r="L221" i="4"/>
  <c r="I221" i="4"/>
  <c r="S134" i="4"/>
  <c r="O134" i="4"/>
  <c r="N134" i="4"/>
  <c r="C134" i="4"/>
  <c r="A134" i="4"/>
  <c r="A134" i="5" s="1"/>
  <c r="B134" i="4"/>
  <c r="F134" i="4"/>
  <c r="E134" i="4"/>
  <c r="L134" i="4"/>
  <c r="K134" i="4"/>
  <c r="J134" i="4"/>
  <c r="G134" i="4"/>
  <c r="M134" i="4"/>
  <c r="H134" i="4"/>
  <c r="I134" i="4"/>
  <c r="C82" i="4"/>
  <c r="B82" i="4"/>
  <c r="S82" i="4"/>
  <c r="M82" i="4"/>
  <c r="K82" i="4"/>
  <c r="L82" i="4"/>
  <c r="O82" i="4"/>
  <c r="N82" i="4"/>
  <c r="H82" i="4"/>
  <c r="G82" i="4"/>
  <c r="F82" i="4"/>
  <c r="J82" i="4"/>
  <c r="I82" i="4"/>
  <c r="E82" i="4"/>
  <c r="A82" i="4"/>
  <c r="A82" i="5" s="1"/>
  <c r="C347" i="4"/>
  <c r="A347" i="4"/>
  <c r="G347" i="4"/>
  <c r="F347" i="4"/>
  <c r="O347" i="4"/>
  <c r="N347" i="4"/>
  <c r="K347" i="4"/>
  <c r="J347" i="4"/>
  <c r="M347" i="4"/>
  <c r="I347" i="4"/>
  <c r="L347" i="4"/>
  <c r="B347" i="4"/>
  <c r="E347" i="4"/>
  <c r="S347" i="4"/>
  <c r="H347" i="4"/>
  <c r="S18" i="4"/>
  <c r="M18" i="4"/>
  <c r="K18" i="4"/>
  <c r="L18" i="4"/>
  <c r="G18" i="4"/>
  <c r="F18" i="4"/>
  <c r="C18" i="4"/>
  <c r="B18" i="4"/>
  <c r="A18" i="4"/>
  <c r="A18" i="5" s="1"/>
  <c r="O18" i="4"/>
  <c r="N18" i="4"/>
  <c r="J18" i="4"/>
  <c r="I18" i="4"/>
  <c r="H18" i="4"/>
  <c r="E18" i="4"/>
  <c r="H16" i="4"/>
  <c r="F16" i="4"/>
  <c r="G16" i="4"/>
  <c r="S16" i="4"/>
  <c r="K16" i="4"/>
  <c r="J16" i="4"/>
  <c r="I16" i="4"/>
  <c r="A16" i="4"/>
  <c r="A16" i="5" s="1"/>
  <c r="O16" i="4"/>
  <c r="B16" i="4"/>
  <c r="C16" i="4"/>
  <c r="N16" i="4"/>
  <c r="M16" i="4"/>
  <c r="L16" i="4"/>
  <c r="E16" i="4"/>
  <c r="L18" i="5" l="1"/>
  <c r="K18" i="5"/>
  <c r="H18" i="5"/>
  <c r="G18" i="5"/>
  <c r="J18" i="5"/>
  <c r="I18" i="5"/>
  <c r="E18" i="5"/>
  <c r="B18" i="5"/>
  <c r="D18" i="5"/>
  <c r="C18" i="5"/>
  <c r="F18" i="5"/>
  <c r="E22" i="5"/>
  <c r="B22" i="5"/>
  <c r="F22" i="5"/>
  <c r="D22" i="5"/>
  <c r="H22" i="5"/>
  <c r="G22" i="5"/>
  <c r="K22" i="5"/>
  <c r="J22" i="5"/>
  <c r="I22" i="5"/>
  <c r="L22" i="5"/>
  <c r="C22" i="5"/>
  <c r="L191" i="5"/>
  <c r="K191" i="5"/>
  <c r="H191" i="5"/>
  <c r="G191" i="5"/>
  <c r="F191" i="5"/>
  <c r="B191" i="5"/>
  <c r="I191" i="5"/>
  <c r="J191" i="5"/>
  <c r="E191" i="5"/>
  <c r="D191" i="5"/>
  <c r="C191" i="5"/>
  <c r="L149" i="5"/>
  <c r="K149" i="5"/>
  <c r="F149" i="5"/>
  <c r="E149" i="5"/>
  <c r="J149" i="5"/>
  <c r="I149" i="5"/>
  <c r="H149" i="5"/>
  <c r="G149" i="5"/>
  <c r="D149" i="5"/>
  <c r="C149" i="5"/>
  <c r="B149" i="5"/>
  <c r="D129" i="5"/>
  <c r="C129" i="5"/>
  <c r="H129" i="5"/>
  <c r="G129" i="5"/>
  <c r="L129" i="5"/>
  <c r="K129" i="5"/>
  <c r="J129" i="5"/>
  <c r="B129" i="5"/>
  <c r="I129" i="5"/>
  <c r="F129" i="5"/>
  <c r="E129" i="5"/>
  <c r="F190" i="5"/>
  <c r="E190" i="5"/>
  <c r="H190" i="5"/>
  <c r="G190" i="5"/>
  <c r="J190" i="5"/>
  <c r="I190" i="5"/>
  <c r="C190" i="5"/>
  <c r="B190" i="5"/>
  <c r="L190" i="5"/>
  <c r="K190" i="5"/>
  <c r="D190" i="5"/>
  <c r="K62" i="5"/>
  <c r="I62" i="5"/>
  <c r="H62" i="5"/>
  <c r="C62" i="5"/>
  <c r="B62" i="5"/>
  <c r="E62" i="5"/>
  <c r="D62" i="5"/>
  <c r="L62" i="5"/>
  <c r="J62" i="5"/>
  <c r="G62" i="5"/>
  <c r="F62" i="5"/>
  <c r="F142" i="5"/>
  <c r="E142" i="5"/>
  <c r="J142" i="5"/>
  <c r="I142" i="5"/>
  <c r="B142" i="5"/>
  <c r="C142" i="5"/>
  <c r="K142" i="5"/>
  <c r="H142" i="5"/>
  <c r="L142" i="5"/>
  <c r="G142" i="5"/>
  <c r="D142" i="5"/>
  <c r="F172" i="5"/>
  <c r="E172" i="5"/>
  <c r="H172" i="5"/>
  <c r="D172" i="5"/>
  <c r="C172" i="5"/>
  <c r="I172" i="5"/>
  <c r="G172" i="5"/>
  <c r="K172" i="5"/>
  <c r="J172" i="5"/>
  <c r="B172" i="5"/>
  <c r="L172" i="5"/>
  <c r="K23" i="5"/>
  <c r="I23" i="5"/>
  <c r="B23" i="5"/>
  <c r="L23" i="5"/>
  <c r="H23" i="5"/>
  <c r="J23" i="5"/>
  <c r="G23" i="5"/>
  <c r="F23" i="5"/>
  <c r="C23" i="5"/>
  <c r="E23" i="5"/>
  <c r="D23" i="5"/>
  <c r="B105" i="5"/>
  <c r="G105" i="5"/>
  <c r="F105" i="5"/>
  <c r="E105" i="5"/>
  <c r="D105" i="5"/>
  <c r="L105" i="5"/>
  <c r="K105" i="5"/>
  <c r="J105" i="5"/>
  <c r="I105" i="5"/>
  <c r="H105" i="5"/>
  <c r="C105" i="5"/>
  <c r="L164" i="5"/>
  <c r="K164" i="5"/>
  <c r="H164" i="5"/>
  <c r="G164" i="5"/>
  <c r="D164" i="5"/>
  <c r="C164" i="5"/>
  <c r="I164" i="5"/>
  <c r="F164" i="5"/>
  <c r="E164" i="5"/>
  <c r="B164" i="5"/>
  <c r="J164" i="5"/>
  <c r="L125" i="5"/>
  <c r="K125" i="5"/>
  <c r="J125" i="5"/>
  <c r="I125" i="5"/>
  <c r="B125" i="5"/>
  <c r="H125" i="5"/>
  <c r="G125" i="5"/>
  <c r="F125" i="5"/>
  <c r="E125" i="5"/>
  <c r="D125" i="5"/>
  <c r="C125" i="5"/>
  <c r="K50" i="5"/>
  <c r="I50" i="5"/>
  <c r="L50" i="5"/>
  <c r="J50" i="5"/>
  <c r="H50" i="5"/>
  <c r="G50" i="5"/>
  <c r="F50" i="5"/>
  <c r="C50" i="5"/>
  <c r="B50" i="5"/>
  <c r="E50" i="5"/>
  <c r="D50" i="5"/>
  <c r="L173" i="5"/>
  <c r="K173" i="5"/>
  <c r="B173" i="5"/>
  <c r="E173" i="5"/>
  <c r="D173" i="5"/>
  <c r="C173" i="5"/>
  <c r="J173" i="5"/>
  <c r="I173" i="5"/>
  <c r="H173" i="5"/>
  <c r="G173" i="5"/>
  <c r="F173" i="5"/>
  <c r="E52" i="5"/>
  <c r="D52" i="5"/>
  <c r="I52" i="5"/>
  <c r="H52" i="5"/>
  <c r="K52" i="5"/>
  <c r="J52" i="5"/>
  <c r="L52" i="5"/>
  <c r="G52" i="5"/>
  <c r="C52" i="5"/>
  <c r="F52" i="5"/>
  <c r="B52" i="5"/>
  <c r="H132" i="5"/>
  <c r="G132" i="5"/>
  <c r="J132" i="5"/>
  <c r="C132" i="5"/>
  <c r="B132" i="5"/>
  <c r="I132" i="5"/>
  <c r="F132" i="5"/>
  <c r="L132" i="5"/>
  <c r="D132" i="5"/>
  <c r="K132" i="5"/>
  <c r="E132" i="5"/>
  <c r="K20" i="5"/>
  <c r="G20" i="5"/>
  <c r="I20" i="5"/>
  <c r="H20" i="5"/>
  <c r="F20" i="5"/>
  <c r="E20" i="5"/>
  <c r="L20" i="5"/>
  <c r="J20" i="5"/>
  <c r="D20" i="5"/>
  <c r="C20" i="5"/>
  <c r="B20" i="5"/>
  <c r="F88" i="5"/>
  <c r="K88" i="5"/>
  <c r="J88" i="5"/>
  <c r="E88" i="5"/>
  <c r="D88" i="5"/>
  <c r="H88" i="5"/>
  <c r="G88" i="5"/>
  <c r="B88" i="5"/>
  <c r="L88" i="5"/>
  <c r="I88" i="5"/>
  <c r="C88" i="5"/>
  <c r="K17" i="5"/>
  <c r="E17" i="5"/>
  <c r="D17" i="5"/>
  <c r="C17" i="5"/>
  <c r="F17" i="5"/>
  <c r="B17" i="5"/>
  <c r="I17" i="5"/>
  <c r="H17" i="5"/>
  <c r="G17" i="5"/>
  <c r="L17" i="5"/>
  <c r="J17" i="5"/>
  <c r="J96" i="5"/>
  <c r="I96" i="5"/>
  <c r="B96" i="5"/>
  <c r="L96" i="5"/>
  <c r="K96" i="5"/>
  <c r="H96" i="5"/>
  <c r="C96" i="5"/>
  <c r="G96" i="5"/>
  <c r="F96" i="5"/>
  <c r="E96" i="5"/>
  <c r="D96" i="5"/>
  <c r="L126" i="5"/>
  <c r="D126" i="5"/>
  <c r="C126" i="5"/>
  <c r="B126" i="5"/>
  <c r="J126" i="5"/>
  <c r="I126" i="5"/>
  <c r="H126" i="5"/>
  <c r="K126" i="5"/>
  <c r="F126" i="5"/>
  <c r="E126" i="5"/>
  <c r="G126" i="5"/>
  <c r="F130" i="5"/>
  <c r="E130" i="5"/>
  <c r="L130" i="5"/>
  <c r="K130" i="5"/>
  <c r="J130" i="5"/>
  <c r="B130" i="5"/>
  <c r="G130" i="5"/>
  <c r="D130" i="5"/>
  <c r="C130" i="5"/>
  <c r="I130" i="5"/>
  <c r="H130" i="5"/>
  <c r="L95" i="5"/>
  <c r="C95" i="5"/>
  <c r="B95" i="5"/>
  <c r="F95" i="5"/>
  <c r="E95" i="5"/>
  <c r="J95" i="5"/>
  <c r="I95" i="5"/>
  <c r="H95" i="5"/>
  <c r="K95" i="5"/>
  <c r="G95" i="5"/>
  <c r="D95" i="5"/>
  <c r="L140" i="5"/>
  <c r="K140" i="5"/>
  <c r="D140" i="5"/>
  <c r="C140" i="5"/>
  <c r="B140" i="5"/>
  <c r="J140" i="5"/>
  <c r="I140" i="5"/>
  <c r="F140" i="5"/>
  <c r="E140" i="5"/>
  <c r="H140" i="5"/>
  <c r="G140" i="5"/>
  <c r="E40" i="5"/>
  <c r="K40" i="5"/>
  <c r="J40" i="5"/>
  <c r="B40" i="5"/>
  <c r="I40" i="5"/>
  <c r="G40" i="5"/>
  <c r="H40" i="5"/>
  <c r="L40" i="5"/>
  <c r="F40" i="5"/>
  <c r="D40" i="5"/>
  <c r="C40" i="5"/>
  <c r="D114" i="5"/>
  <c r="C114" i="5"/>
  <c r="F114" i="5"/>
  <c r="E114" i="5"/>
  <c r="L114" i="5"/>
  <c r="K114" i="5"/>
  <c r="J114" i="5"/>
  <c r="H114" i="5"/>
  <c r="I114" i="5"/>
  <c r="G114" i="5"/>
  <c r="B114" i="5"/>
  <c r="D183" i="5"/>
  <c r="C183" i="5"/>
  <c r="L183" i="5"/>
  <c r="J183" i="5"/>
  <c r="I183" i="5"/>
  <c r="F183" i="5"/>
  <c r="E183" i="5"/>
  <c r="B183" i="5"/>
  <c r="G183" i="5"/>
  <c r="K183" i="5"/>
  <c r="H183" i="5"/>
  <c r="B168" i="5"/>
  <c r="J168" i="5"/>
  <c r="F168" i="5"/>
  <c r="E168" i="5"/>
  <c r="D168" i="5"/>
  <c r="C168" i="5"/>
  <c r="K168" i="5"/>
  <c r="L168" i="5"/>
  <c r="I168" i="5"/>
  <c r="H168" i="5"/>
  <c r="G168" i="5"/>
  <c r="E55" i="5"/>
  <c r="G55" i="5"/>
  <c r="L55" i="5"/>
  <c r="C55" i="5"/>
  <c r="B55" i="5"/>
  <c r="H55" i="5"/>
  <c r="F55" i="5"/>
  <c r="D55" i="5"/>
  <c r="I55" i="5"/>
  <c r="K55" i="5"/>
  <c r="J55" i="5"/>
  <c r="L176" i="5"/>
  <c r="K176" i="5"/>
  <c r="F176" i="5"/>
  <c r="E176" i="5"/>
  <c r="D176" i="5"/>
  <c r="G176" i="5"/>
  <c r="C176" i="5"/>
  <c r="I176" i="5"/>
  <c r="H176" i="5"/>
  <c r="B176" i="5"/>
  <c r="J176" i="5"/>
  <c r="L179" i="5"/>
  <c r="K179" i="5"/>
  <c r="J179" i="5"/>
  <c r="I179" i="5"/>
  <c r="D179" i="5"/>
  <c r="C179" i="5"/>
  <c r="H179" i="5"/>
  <c r="G179" i="5"/>
  <c r="F179" i="5"/>
  <c r="E179" i="5"/>
  <c r="B179" i="5"/>
  <c r="B30" i="5"/>
  <c r="J30" i="5"/>
  <c r="I30" i="5"/>
  <c r="L30" i="5"/>
  <c r="K30" i="5"/>
  <c r="H30" i="5"/>
  <c r="G30" i="5"/>
  <c r="F30" i="5"/>
  <c r="E30" i="5"/>
  <c r="D30" i="5"/>
  <c r="C30" i="5"/>
  <c r="L194" i="5"/>
  <c r="K194" i="5"/>
  <c r="F194" i="5"/>
  <c r="E194" i="5"/>
  <c r="H194" i="5"/>
  <c r="D194" i="5"/>
  <c r="G194" i="5"/>
  <c r="J194" i="5"/>
  <c r="I194" i="5"/>
  <c r="C194" i="5"/>
  <c r="B194" i="5"/>
  <c r="F136" i="5"/>
  <c r="E136" i="5"/>
  <c r="H136" i="5"/>
  <c r="C136" i="5"/>
  <c r="B136" i="5"/>
  <c r="G136" i="5"/>
  <c r="D136" i="5"/>
  <c r="L136" i="5"/>
  <c r="K136" i="5"/>
  <c r="J136" i="5"/>
  <c r="I136" i="5"/>
  <c r="B84" i="5"/>
  <c r="C84" i="5"/>
  <c r="E84" i="5"/>
  <c r="D84" i="5"/>
  <c r="K84" i="5"/>
  <c r="L84" i="5"/>
  <c r="G84" i="5"/>
  <c r="F84" i="5"/>
  <c r="I84" i="5"/>
  <c r="H84" i="5"/>
  <c r="J84" i="5"/>
  <c r="F144" i="5"/>
  <c r="E144" i="5"/>
  <c r="B144" i="5"/>
  <c r="D144" i="5"/>
  <c r="C144" i="5"/>
  <c r="L144" i="5"/>
  <c r="K144" i="5"/>
  <c r="H144" i="5"/>
  <c r="G144" i="5"/>
  <c r="J144" i="5"/>
  <c r="I144" i="5"/>
  <c r="H159" i="5"/>
  <c r="G159" i="5"/>
  <c r="D159" i="5"/>
  <c r="L159" i="5"/>
  <c r="K159" i="5"/>
  <c r="J159" i="5"/>
  <c r="I159" i="5"/>
  <c r="F159" i="5"/>
  <c r="E159" i="5"/>
  <c r="C159" i="5"/>
  <c r="B159" i="5"/>
  <c r="F166" i="5"/>
  <c r="E166" i="5"/>
  <c r="D166" i="5"/>
  <c r="C166" i="5"/>
  <c r="L166" i="5"/>
  <c r="G166" i="5"/>
  <c r="B166" i="5"/>
  <c r="K166" i="5"/>
  <c r="J166" i="5"/>
  <c r="I166" i="5"/>
  <c r="H166" i="5"/>
  <c r="J120" i="5"/>
  <c r="I120" i="5"/>
  <c r="C120" i="5"/>
  <c r="B120" i="5"/>
  <c r="G120" i="5"/>
  <c r="F120" i="5"/>
  <c r="E120" i="5"/>
  <c r="D120" i="5"/>
  <c r="L120" i="5"/>
  <c r="K120" i="5"/>
  <c r="H120" i="5"/>
  <c r="K102" i="5"/>
  <c r="J102" i="5"/>
  <c r="I102" i="5"/>
  <c r="H102" i="5"/>
  <c r="L102" i="5"/>
  <c r="G102" i="5"/>
  <c r="C102" i="5"/>
  <c r="B102" i="5"/>
  <c r="F102" i="5"/>
  <c r="E102" i="5"/>
  <c r="D102" i="5"/>
  <c r="K32" i="5"/>
  <c r="F32" i="5"/>
  <c r="E32" i="5"/>
  <c r="J32" i="5"/>
  <c r="I32" i="5"/>
  <c r="H32" i="5"/>
  <c r="G32" i="5"/>
  <c r="L32" i="5"/>
  <c r="D32" i="5"/>
  <c r="C32" i="5"/>
  <c r="B32" i="5"/>
  <c r="L92" i="5"/>
  <c r="G92" i="5"/>
  <c r="I92" i="5"/>
  <c r="H92" i="5"/>
  <c r="K92" i="5"/>
  <c r="J92" i="5"/>
  <c r="F92" i="5"/>
  <c r="E92" i="5"/>
  <c r="D92" i="5"/>
  <c r="C92" i="5"/>
  <c r="B92" i="5"/>
  <c r="E7" i="5"/>
  <c r="K7" i="5"/>
  <c r="C7" i="5"/>
  <c r="B7" i="5"/>
  <c r="F7" i="5"/>
  <c r="D7" i="5"/>
  <c r="L7" i="5"/>
  <c r="J7" i="5"/>
  <c r="I7" i="5"/>
  <c r="G7" i="5"/>
  <c r="H7" i="5"/>
  <c r="L197" i="5"/>
  <c r="K197" i="5"/>
  <c r="D197" i="5"/>
  <c r="F197" i="5"/>
  <c r="E197" i="5"/>
  <c r="H197" i="5"/>
  <c r="C197" i="5"/>
  <c r="G197" i="5"/>
  <c r="B197" i="5"/>
  <c r="I197" i="5"/>
  <c r="J197" i="5"/>
  <c r="K48" i="5"/>
  <c r="J48" i="5"/>
  <c r="G48" i="5"/>
  <c r="F48" i="5"/>
  <c r="I48" i="5"/>
  <c r="H48" i="5"/>
  <c r="E48" i="5"/>
  <c r="D48" i="5"/>
  <c r="C48" i="5"/>
  <c r="B48" i="5"/>
  <c r="L48" i="5"/>
  <c r="B141" i="5"/>
  <c r="C141" i="5"/>
  <c r="F141" i="5"/>
  <c r="E141" i="5"/>
  <c r="D141" i="5"/>
  <c r="H141" i="5"/>
  <c r="G141" i="5"/>
  <c r="L141" i="5"/>
  <c r="K141" i="5"/>
  <c r="J141" i="5"/>
  <c r="I141" i="5"/>
  <c r="K65" i="5"/>
  <c r="L65" i="5"/>
  <c r="J65" i="5"/>
  <c r="G65" i="5"/>
  <c r="F65" i="5"/>
  <c r="I65" i="5"/>
  <c r="H65" i="5"/>
  <c r="E65" i="5"/>
  <c r="D65" i="5"/>
  <c r="C65" i="5"/>
  <c r="B65" i="5"/>
  <c r="F85" i="5"/>
  <c r="I85" i="5"/>
  <c r="H85" i="5"/>
  <c r="D85" i="5"/>
  <c r="L85" i="5"/>
  <c r="J85" i="5"/>
  <c r="G85" i="5"/>
  <c r="E85" i="5"/>
  <c r="C85" i="5"/>
  <c r="B85" i="5"/>
  <c r="K85" i="5"/>
  <c r="B16" i="2"/>
  <c r="D180" i="5"/>
  <c r="G180" i="5"/>
  <c r="F180" i="5"/>
  <c r="K180" i="5"/>
  <c r="J180" i="5"/>
  <c r="E180" i="5"/>
  <c r="B180" i="5"/>
  <c r="C180" i="5"/>
  <c r="L180" i="5"/>
  <c r="I180" i="5"/>
  <c r="H180" i="5"/>
  <c r="F115" i="5"/>
  <c r="K115" i="5"/>
  <c r="J115" i="5"/>
  <c r="I115" i="5"/>
  <c r="C115" i="5"/>
  <c r="B115" i="5"/>
  <c r="L115" i="5"/>
  <c r="H115" i="5"/>
  <c r="G115" i="5"/>
  <c r="E115" i="5"/>
  <c r="D115" i="5"/>
  <c r="F139" i="5"/>
  <c r="E139" i="5"/>
  <c r="D139" i="5"/>
  <c r="C139" i="5"/>
  <c r="L139" i="5"/>
  <c r="K139" i="5"/>
  <c r="G139" i="5"/>
  <c r="B139" i="5"/>
  <c r="J139" i="5"/>
  <c r="I139" i="5"/>
  <c r="H139" i="5"/>
  <c r="E10" i="5"/>
  <c r="H10" i="5"/>
  <c r="G10" i="5"/>
  <c r="C10" i="5"/>
  <c r="B10" i="5"/>
  <c r="L10" i="5"/>
  <c r="F10" i="5"/>
  <c r="D10" i="5"/>
  <c r="I10" i="5"/>
  <c r="J10" i="5"/>
  <c r="K10" i="5"/>
  <c r="L45" i="5"/>
  <c r="K45" i="5"/>
  <c r="J45" i="5"/>
  <c r="C45" i="5"/>
  <c r="B45" i="5"/>
  <c r="G45" i="5"/>
  <c r="E45" i="5"/>
  <c r="F45" i="5"/>
  <c r="I45" i="5"/>
  <c r="H45" i="5"/>
  <c r="D45" i="5"/>
  <c r="H108" i="5"/>
  <c r="I108" i="5"/>
  <c r="G108" i="5"/>
  <c r="D108" i="5"/>
  <c r="L108" i="5"/>
  <c r="C108" i="5"/>
  <c r="B108" i="5"/>
  <c r="K108" i="5"/>
  <c r="J108" i="5"/>
  <c r="F108" i="5"/>
  <c r="E108" i="5"/>
  <c r="H39" i="5"/>
  <c r="C39" i="5"/>
  <c r="B39" i="5"/>
  <c r="G39" i="5"/>
  <c r="F39" i="5"/>
  <c r="L39" i="5"/>
  <c r="K39" i="5"/>
  <c r="J39" i="5"/>
  <c r="I39" i="5"/>
  <c r="E39" i="5"/>
  <c r="D39" i="5"/>
  <c r="E61" i="5"/>
  <c r="K61" i="5"/>
  <c r="F61" i="5"/>
  <c r="D61" i="5"/>
  <c r="L61" i="5"/>
  <c r="J61" i="5"/>
  <c r="I61" i="5"/>
  <c r="H61" i="5"/>
  <c r="G61" i="5"/>
  <c r="C61" i="5"/>
  <c r="B61" i="5"/>
  <c r="E79" i="5"/>
  <c r="D79" i="5"/>
  <c r="K79" i="5"/>
  <c r="J79" i="5"/>
  <c r="I79" i="5"/>
  <c r="G79" i="5"/>
  <c r="H79" i="5"/>
  <c r="L79" i="5"/>
  <c r="F79" i="5"/>
  <c r="C79" i="5"/>
  <c r="B79" i="5"/>
  <c r="F94" i="5"/>
  <c r="D94" i="5"/>
  <c r="J94" i="5"/>
  <c r="I94" i="5"/>
  <c r="B94" i="5"/>
  <c r="H94" i="5"/>
  <c r="G94" i="5"/>
  <c r="E94" i="5"/>
  <c r="L94" i="5"/>
  <c r="K94" i="5"/>
  <c r="C94" i="5"/>
  <c r="K41" i="5"/>
  <c r="C41" i="5"/>
  <c r="F41" i="5"/>
  <c r="E41" i="5"/>
  <c r="H41" i="5"/>
  <c r="G41" i="5"/>
  <c r="D41" i="5"/>
  <c r="B41" i="5"/>
  <c r="L41" i="5"/>
  <c r="J41" i="5"/>
  <c r="I41" i="5"/>
  <c r="E73" i="5"/>
  <c r="D73" i="5"/>
  <c r="C73" i="5"/>
  <c r="L73" i="5"/>
  <c r="K73" i="5"/>
  <c r="J73" i="5"/>
  <c r="I73" i="5"/>
  <c r="H73" i="5"/>
  <c r="G73" i="5"/>
  <c r="F73" i="5"/>
  <c r="B73" i="5"/>
  <c r="L152" i="5"/>
  <c r="K152" i="5"/>
  <c r="J152" i="5"/>
  <c r="I152" i="5"/>
  <c r="D152" i="5"/>
  <c r="C152" i="5"/>
  <c r="B152" i="5"/>
  <c r="E152" i="5"/>
  <c r="F152" i="5"/>
  <c r="H152" i="5"/>
  <c r="G152" i="5"/>
  <c r="B24" i="5"/>
  <c r="F24" i="5"/>
  <c r="E24" i="5"/>
  <c r="G24" i="5"/>
  <c r="D24" i="5"/>
  <c r="C24" i="5"/>
  <c r="J24" i="5"/>
  <c r="I24" i="5"/>
  <c r="H24" i="5"/>
  <c r="L24" i="5"/>
  <c r="K24" i="5"/>
  <c r="K11" i="5"/>
  <c r="C11" i="5"/>
  <c r="B11" i="5"/>
  <c r="L11" i="5"/>
  <c r="C3" i="6" s="1"/>
  <c r="I11" i="5"/>
  <c r="J11" i="5"/>
  <c r="E11" i="5"/>
  <c r="D11" i="5"/>
  <c r="H11" i="5"/>
  <c r="G11" i="5"/>
  <c r="F11" i="5"/>
  <c r="E70" i="5"/>
  <c r="D70" i="5"/>
  <c r="B70" i="5"/>
  <c r="H70" i="5"/>
  <c r="G70" i="5"/>
  <c r="F70" i="5"/>
  <c r="C70" i="5"/>
  <c r="L70" i="5"/>
  <c r="K70" i="5"/>
  <c r="J70" i="5"/>
  <c r="I70" i="5"/>
  <c r="B57" i="5"/>
  <c r="I57" i="5"/>
  <c r="H57" i="5"/>
  <c r="C57" i="5"/>
  <c r="G57" i="5"/>
  <c r="E57" i="5"/>
  <c r="F57" i="5"/>
  <c r="D57" i="5"/>
  <c r="L57" i="5"/>
  <c r="K57" i="5"/>
  <c r="J57" i="5"/>
  <c r="B21" i="5"/>
  <c r="H21" i="5"/>
  <c r="F21" i="5"/>
  <c r="G21" i="5"/>
  <c r="D21" i="5"/>
  <c r="C21" i="5"/>
  <c r="L21" i="5"/>
  <c r="K21" i="5"/>
  <c r="J21" i="5"/>
  <c r="I21" i="5"/>
  <c r="E21" i="5"/>
  <c r="L116" i="5"/>
  <c r="D116" i="5"/>
  <c r="C116" i="5"/>
  <c r="B116" i="5"/>
  <c r="H116" i="5"/>
  <c r="G116" i="5"/>
  <c r="F116" i="5"/>
  <c r="E116" i="5"/>
  <c r="K116" i="5"/>
  <c r="J116" i="5"/>
  <c r="I116" i="5"/>
  <c r="L83" i="5"/>
  <c r="G83" i="5"/>
  <c r="K83" i="5"/>
  <c r="H83" i="5"/>
  <c r="F83" i="5"/>
  <c r="J83" i="5"/>
  <c r="I83" i="5"/>
  <c r="E83" i="5"/>
  <c r="D83" i="5"/>
  <c r="C83" i="5"/>
  <c r="B83" i="5"/>
  <c r="K5" i="5"/>
  <c r="G5" i="5"/>
  <c r="F5" i="5"/>
  <c r="E5" i="5"/>
  <c r="D5" i="5"/>
  <c r="I5" i="5"/>
  <c r="H5" i="5"/>
  <c r="C5" i="5"/>
  <c r="L5" i="5"/>
  <c r="J5" i="5"/>
  <c r="B5" i="5"/>
  <c r="E4" i="5"/>
  <c r="I4" i="5"/>
  <c r="K4" i="5"/>
  <c r="H4" i="5"/>
  <c r="J4" i="5"/>
  <c r="C4" i="5"/>
  <c r="B4" i="5"/>
  <c r="L4" i="5"/>
  <c r="G4" i="5"/>
  <c r="F4" i="5"/>
  <c r="D4" i="5"/>
  <c r="L137" i="5"/>
  <c r="K137" i="5"/>
  <c r="H137" i="5"/>
  <c r="G137" i="5"/>
  <c r="F137" i="5"/>
  <c r="E137" i="5"/>
  <c r="D137" i="5"/>
  <c r="B137" i="5"/>
  <c r="C137" i="5"/>
  <c r="J137" i="5"/>
  <c r="I137" i="5"/>
  <c r="H153" i="5"/>
  <c r="B153" i="5"/>
  <c r="L153" i="5"/>
  <c r="K153" i="5"/>
  <c r="J153" i="5"/>
  <c r="F153" i="5"/>
  <c r="E153" i="5"/>
  <c r="D153" i="5"/>
  <c r="C153" i="5"/>
  <c r="I153" i="5"/>
  <c r="G153" i="5"/>
  <c r="L122" i="5"/>
  <c r="K122" i="5"/>
  <c r="F122" i="5"/>
  <c r="E122" i="5"/>
  <c r="B122" i="5"/>
  <c r="J122" i="5"/>
  <c r="I122" i="5"/>
  <c r="D122" i="5"/>
  <c r="C122" i="5"/>
  <c r="H122" i="5"/>
  <c r="G122" i="5"/>
  <c r="E76" i="5"/>
  <c r="D76" i="5"/>
  <c r="I76" i="5"/>
  <c r="J76" i="5"/>
  <c r="H76" i="5"/>
  <c r="L76" i="5"/>
  <c r="K76" i="5"/>
  <c r="C76" i="5"/>
  <c r="B76" i="5"/>
  <c r="G76" i="5"/>
  <c r="F76" i="5"/>
  <c r="F169" i="5"/>
  <c r="E169" i="5"/>
  <c r="J169" i="5"/>
  <c r="I169" i="5"/>
  <c r="L169" i="5"/>
  <c r="K169" i="5"/>
  <c r="G169" i="5"/>
  <c r="D169" i="5"/>
  <c r="C169" i="5"/>
  <c r="H169" i="5"/>
  <c r="B169" i="5"/>
  <c r="L162" i="5"/>
  <c r="K162" i="5"/>
  <c r="E162" i="5"/>
  <c r="D162" i="5"/>
  <c r="J162" i="5"/>
  <c r="I162" i="5"/>
  <c r="H162" i="5"/>
  <c r="G162" i="5"/>
  <c r="F162" i="5"/>
  <c r="C162" i="5"/>
  <c r="B162" i="5"/>
  <c r="L99" i="5"/>
  <c r="K99" i="5"/>
  <c r="H99" i="5"/>
  <c r="C99" i="5"/>
  <c r="B99" i="5"/>
  <c r="G99" i="5"/>
  <c r="F99" i="5"/>
  <c r="E99" i="5"/>
  <c r="J99" i="5"/>
  <c r="I99" i="5"/>
  <c r="D99" i="5"/>
  <c r="J42" i="5"/>
  <c r="G42" i="5"/>
  <c r="F42" i="5"/>
  <c r="C42" i="5"/>
  <c r="B42" i="5"/>
  <c r="L42" i="5"/>
  <c r="K42" i="5"/>
  <c r="I42" i="5"/>
  <c r="H42" i="5"/>
  <c r="E42" i="5"/>
  <c r="D42" i="5"/>
  <c r="E43" i="5"/>
  <c r="D43" i="5"/>
  <c r="C43" i="5"/>
  <c r="B43" i="5"/>
  <c r="L43" i="5"/>
  <c r="K43" i="5"/>
  <c r="J43" i="5"/>
  <c r="F43" i="5"/>
  <c r="I43" i="5"/>
  <c r="H43" i="5"/>
  <c r="G43" i="5"/>
  <c r="E150" i="5"/>
  <c r="D150" i="5"/>
  <c r="G150" i="5"/>
  <c r="F150" i="5"/>
  <c r="K150" i="5"/>
  <c r="J150" i="5"/>
  <c r="I150" i="5"/>
  <c r="H150" i="5"/>
  <c r="C150" i="5"/>
  <c r="B150" i="5"/>
  <c r="L150" i="5"/>
  <c r="L155" i="5"/>
  <c r="K155" i="5"/>
  <c r="F155" i="5"/>
  <c r="E155" i="5"/>
  <c r="D155" i="5"/>
  <c r="J155" i="5"/>
  <c r="I155" i="5"/>
  <c r="H155" i="5"/>
  <c r="G155" i="5"/>
  <c r="C155" i="5"/>
  <c r="B155" i="5"/>
  <c r="F124" i="5"/>
  <c r="E124" i="5"/>
  <c r="B124" i="5"/>
  <c r="C124" i="5"/>
  <c r="L124" i="5"/>
  <c r="K124" i="5"/>
  <c r="J124" i="5"/>
  <c r="I124" i="5"/>
  <c r="H124" i="5"/>
  <c r="G124" i="5"/>
  <c r="D124" i="5"/>
  <c r="F133" i="5"/>
  <c r="E133" i="5"/>
  <c r="L133" i="5"/>
  <c r="K133" i="5"/>
  <c r="H133" i="5"/>
  <c r="G133" i="5"/>
  <c r="D133" i="5"/>
  <c r="J133" i="5"/>
  <c r="I133" i="5"/>
  <c r="C133" i="5"/>
  <c r="B133" i="5"/>
  <c r="E67" i="5"/>
  <c r="J67" i="5"/>
  <c r="I67" i="5"/>
  <c r="L67" i="5"/>
  <c r="K67" i="5"/>
  <c r="H67" i="5"/>
  <c r="G67" i="5"/>
  <c r="B67" i="5"/>
  <c r="F67" i="5"/>
  <c r="D67" i="5"/>
  <c r="C67" i="5"/>
  <c r="L170" i="5"/>
  <c r="K170" i="5"/>
  <c r="H170" i="5"/>
  <c r="E170" i="5"/>
  <c r="D170" i="5"/>
  <c r="C170" i="5"/>
  <c r="B170" i="5"/>
  <c r="J170" i="5"/>
  <c r="I170" i="5"/>
  <c r="F170" i="5"/>
  <c r="G170" i="5"/>
  <c r="E19" i="5"/>
  <c r="F19" i="5"/>
  <c r="C19" i="5"/>
  <c r="D19" i="5"/>
  <c r="L19" i="5"/>
  <c r="K19" i="5"/>
  <c r="J19" i="5"/>
  <c r="I19" i="5"/>
  <c r="H19" i="5"/>
  <c r="G19" i="5"/>
  <c r="B19" i="5"/>
  <c r="H93" i="5"/>
  <c r="G93" i="5"/>
  <c r="F93" i="5"/>
  <c r="E93" i="5"/>
  <c r="D93" i="5"/>
  <c r="C93" i="5"/>
  <c r="B93" i="5"/>
  <c r="L93" i="5"/>
  <c r="I93" i="5"/>
  <c r="K93" i="5"/>
  <c r="J93" i="5"/>
  <c r="E78" i="5"/>
  <c r="G78" i="5"/>
  <c r="F78" i="5"/>
  <c r="L78" i="5"/>
  <c r="B78" i="5"/>
  <c r="K78" i="5"/>
  <c r="J78" i="5"/>
  <c r="I78" i="5"/>
  <c r="H78" i="5"/>
  <c r="D78" i="5"/>
  <c r="C78" i="5"/>
  <c r="K75" i="5"/>
  <c r="J75" i="5"/>
  <c r="D75" i="5"/>
  <c r="C75" i="5"/>
  <c r="B75" i="5"/>
  <c r="F75" i="5"/>
  <c r="G75" i="5"/>
  <c r="L75" i="5"/>
  <c r="I75" i="5"/>
  <c r="H75" i="5"/>
  <c r="E75" i="5"/>
  <c r="F117" i="5"/>
  <c r="E117" i="5"/>
  <c r="H117" i="5"/>
  <c r="C117" i="5"/>
  <c r="B117" i="5"/>
  <c r="G117" i="5"/>
  <c r="D117" i="5"/>
  <c r="L117" i="5"/>
  <c r="K117" i="5"/>
  <c r="J117" i="5"/>
  <c r="I117" i="5"/>
  <c r="G192" i="5"/>
  <c r="F192" i="5"/>
  <c r="K192" i="5"/>
  <c r="J192" i="5"/>
  <c r="D192" i="5"/>
  <c r="C192" i="5"/>
  <c r="B192" i="5"/>
  <c r="L192" i="5"/>
  <c r="I192" i="5"/>
  <c r="H192" i="5"/>
  <c r="E192" i="5"/>
  <c r="D60" i="5"/>
  <c r="L60" i="5"/>
  <c r="E60" i="5"/>
  <c r="C60" i="5"/>
  <c r="F60" i="5"/>
  <c r="B60" i="5"/>
  <c r="K60" i="5"/>
  <c r="H60" i="5"/>
  <c r="G60" i="5"/>
  <c r="J60" i="5"/>
  <c r="I60" i="5"/>
  <c r="F112" i="5"/>
  <c r="I112" i="5"/>
  <c r="H112" i="5"/>
  <c r="B112" i="5"/>
  <c r="E112" i="5"/>
  <c r="D112" i="5"/>
  <c r="J112" i="5"/>
  <c r="G112" i="5"/>
  <c r="L112" i="5"/>
  <c r="K112" i="5"/>
  <c r="C112" i="5"/>
  <c r="H12" i="5"/>
  <c r="D12" i="5"/>
  <c r="C12" i="5"/>
  <c r="L12" i="5"/>
  <c r="F12" i="5"/>
  <c r="E12" i="5"/>
  <c r="G12" i="5"/>
  <c r="B12" i="5"/>
  <c r="K12" i="5"/>
  <c r="J12" i="5"/>
  <c r="I12" i="5"/>
  <c r="F63" i="5"/>
  <c r="L63" i="5"/>
  <c r="G63" i="5"/>
  <c r="E63" i="5"/>
  <c r="B63" i="5"/>
  <c r="H63" i="5"/>
  <c r="D63" i="5"/>
  <c r="C63" i="5"/>
  <c r="K63" i="5"/>
  <c r="J63" i="5"/>
  <c r="I63" i="5"/>
  <c r="F157" i="5"/>
  <c r="E157" i="5"/>
  <c r="L157" i="5"/>
  <c r="K157" i="5"/>
  <c r="D157" i="5"/>
  <c r="J157" i="5"/>
  <c r="G157" i="5"/>
  <c r="B157" i="5"/>
  <c r="C157" i="5"/>
  <c r="I157" i="5"/>
  <c r="H157" i="5"/>
  <c r="C177" i="5"/>
  <c r="B177" i="5"/>
  <c r="L177" i="5"/>
  <c r="G177" i="5"/>
  <c r="E177" i="5"/>
  <c r="F177" i="5"/>
  <c r="K177" i="5"/>
  <c r="D177" i="5"/>
  <c r="J177" i="5"/>
  <c r="I177" i="5"/>
  <c r="H177" i="5"/>
  <c r="L110" i="5"/>
  <c r="E110" i="5"/>
  <c r="G110" i="5"/>
  <c r="F110" i="5"/>
  <c r="B110" i="5"/>
  <c r="D110" i="5"/>
  <c r="C110" i="5"/>
  <c r="K110" i="5"/>
  <c r="J110" i="5"/>
  <c r="H110" i="5"/>
  <c r="I110" i="5"/>
  <c r="J15" i="5"/>
  <c r="H15" i="5"/>
  <c r="G15" i="5"/>
  <c r="L15" i="5"/>
  <c r="K15" i="5"/>
  <c r="I15" i="5"/>
  <c r="D15" i="5"/>
  <c r="C15" i="5"/>
  <c r="B15" i="5"/>
  <c r="F15" i="5"/>
  <c r="E15" i="5"/>
  <c r="K8" i="5"/>
  <c r="L8" i="5"/>
  <c r="J8" i="5"/>
  <c r="C8" i="5"/>
  <c r="B8" i="5"/>
  <c r="F8" i="5"/>
  <c r="E8" i="5"/>
  <c r="D8" i="5"/>
  <c r="H8" i="5"/>
  <c r="G8" i="5"/>
  <c r="I8" i="5"/>
  <c r="K68" i="5"/>
  <c r="J68" i="5"/>
  <c r="C68" i="5"/>
  <c r="I68" i="5"/>
  <c r="H68" i="5"/>
  <c r="G68" i="5"/>
  <c r="L68" i="5"/>
  <c r="D68" i="5"/>
  <c r="B68" i="5"/>
  <c r="F68" i="5"/>
  <c r="E68" i="5"/>
  <c r="H51" i="5"/>
  <c r="G51" i="5"/>
  <c r="F51" i="5"/>
  <c r="K51" i="5"/>
  <c r="J51" i="5"/>
  <c r="I51" i="5"/>
  <c r="B51" i="5"/>
  <c r="L51" i="5"/>
  <c r="E51" i="5"/>
  <c r="D51" i="5"/>
  <c r="C51" i="5"/>
  <c r="L119" i="5"/>
  <c r="K119" i="5"/>
  <c r="B119" i="5"/>
  <c r="F119" i="5"/>
  <c r="I119" i="5"/>
  <c r="H119" i="5"/>
  <c r="J119" i="5"/>
  <c r="G119" i="5"/>
  <c r="E119" i="5"/>
  <c r="D119" i="5"/>
  <c r="C119" i="5"/>
  <c r="F106" i="5"/>
  <c r="D106" i="5"/>
  <c r="C106" i="5"/>
  <c r="K106" i="5"/>
  <c r="J106" i="5"/>
  <c r="I106" i="5"/>
  <c r="H106" i="5"/>
  <c r="E106" i="5"/>
  <c r="G106" i="5"/>
  <c r="L106" i="5"/>
  <c r="B106" i="5"/>
  <c r="F193" i="5"/>
  <c r="E193" i="5"/>
  <c r="D193" i="5"/>
  <c r="C193" i="5"/>
  <c r="H193" i="5"/>
  <c r="J193" i="5"/>
  <c r="I193" i="5"/>
  <c r="B193" i="5"/>
  <c r="L193" i="5"/>
  <c r="K193" i="5"/>
  <c r="G193" i="5"/>
  <c r="L80" i="5"/>
  <c r="K80" i="5"/>
  <c r="J80" i="5"/>
  <c r="D80" i="5"/>
  <c r="C80" i="5"/>
  <c r="I80" i="5"/>
  <c r="E80" i="5"/>
  <c r="B80" i="5"/>
  <c r="F80" i="5"/>
  <c r="H80" i="5"/>
  <c r="G80" i="5"/>
  <c r="K71" i="5"/>
  <c r="J71" i="5"/>
  <c r="G71" i="5"/>
  <c r="D71" i="5"/>
  <c r="C71" i="5"/>
  <c r="L71" i="5"/>
  <c r="I71" i="5"/>
  <c r="H71" i="5"/>
  <c r="F71" i="5"/>
  <c r="E71" i="5"/>
  <c r="B71" i="5"/>
  <c r="K59" i="5"/>
  <c r="E59" i="5"/>
  <c r="D59" i="5"/>
  <c r="C59" i="5"/>
  <c r="B59" i="5"/>
  <c r="L59" i="5"/>
  <c r="I59" i="5"/>
  <c r="J59" i="5"/>
  <c r="H59" i="5"/>
  <c r="G59" i="5"/>
  <c r="F59" i="5"/>
  <c r="F181" i="5"/>
  <c r="E181" i="5"/>
  <c r="H181" i="5"/>
  <c r="G181" i="5"/>
  <c r="I181" i="5"/>
  <c r="D181" i="5"/>
  <c r="L181" i="5"/>
  <c r="K181" i="5"/>
  <c r="J181" i="5"/>
  <c r="C181" i="5"/>
  <c r="B181" i="5"/>
  <c r="F138" i="5"/>
  <c r="D138" i="5"/>
  <c r="C138" i="5"/>
  <c r="I138" i="5"/>
  <c r="H138" i="5"/>
  <c r="J138" i="5"/>
  <c r="B138" i="5"/>
  <c r="G138" i="5"/>
  <c r="E138" i="5"/>
  <c r="L138" i="5"/>
  <c r="K138" i="5"/>
  <c r="K44" i="5"/>
  <c r="E44" i="5"/>
  <c r="C44" i="5"/>
  <c r="B44" i="5"/>
  <c r="F44" i="5"/>
  <c r="D44" i="5"/>
  <c r="J44" i="5"/>
  <c r="I44" i="5"/>
  <c r="H44" i="5"/>
  <c r="L44" i="5"/>
  <c r="G44" i="5"/>
  <c r="L189" i="5"/>
  <c r="K189" i="5"/>
  <c r="H189" i="5"/>
  <c r="C189" i="5"/>
  <c r="B189" i="5"/>
  <c r="F189" i="5"/>
  <c r="E189" i="5"/>
  <c r="D189" i="5"/>
  <c r="J189" i="5"/>
  <c r="I189" i="5"/>
  <c r="G189" i="5"/>
  <c r="E31" i="5"/>
  <c r="I31" i="5"/>
  <c r="L31" i="5"/>
  <c r="K31" i="5"/>
  <c r="G31" i="5"/>
  <c r="F31" i="5"/>
  <c r="B31" i="5"/>
  <c r="H31" i="5"/>
  <c r="D31" i="5"/>
  <c r="C31" i="5"/>
  <c r="J31" i="5"/>
  <c r="L131" i="5"/>
  <c r="K131" i="5"/>
  <c r="I131" i="5"/>
  <c r="H131" i="5"/>
  <c r="G131" i="5"/>
  <c r="E131" i="5"/>
  <c r="F131" i="5"/>
  <c r="D131" i="5"/>
  <c r="C131" i="5"/>
  <c r="B131" i="5"/>
  <c r="J131" i="5"/>
  <c r="F154" i="5"/>
  <c r="E154" i="5"/>
  <c r="H154" i="5"/>
  <c r="G154" i="5"/>
  <c r="C154" i="5"/>
  <c r="B154" i="5"/>
  <c r="I154" i="5"/>
  <c r="D154" i="5"/>
  <c r="K154" i="5"/>
  <c r="J154" i="5"/>
  <c r="L154" i="5"/>
  <c r="F100" i="5"/>
  <c r="L100" i="5"/>
  <c r="G100" i="5"/>
  <c r="E100" i="5"/>
  <c r="K100" i="5"/>
  <c r="D100" i="5"/>
  <c r="C100" i="5"/>
  <c r="B100" i="5"/>
  <c r="I100" i="5"/>
  <c r="H100" i="5"/>
  <c r="J100" i="5"/>
  <c r="K38" i="5"/>
  <c r="B38" i="5"/>
  <c r="F38" i="5"/>
  <c r="D38" i="5"/>
  <c r="E38" i="5"/>
  <c r="C38" i="5"/>
  <c r="L38" i="5"/>
  <c r="J38" i="5"/>
  <c r="I38" i="5"/>
  <c r="H38" i="5"/>
  <c r="G38" i="5"/>
  <c r="F82" i="5"/>
  <c r="G82" i="5"/>
  <c r="E82" i="5"/>
  <c r="B82" i="5"/>
  <c r="I82" i="5"/>
  <c r="D82" i="5"/>
  <c r="H82" i="5"/>
  <c r="L82" i="5"/>
  <c r="J82" i="5"/>
  <c r="C82" i="5"/>
  <c r="K82" i="5"/>
  <c r="K53" i="5"/>
  <c r="L53" i="5"/>
  <c r="G53" i="5"/>
  <c r="F53" i="5"/>
  <c r="E53" i="5"/>
  <c r="D53" i="5"/>
  <c r="J53" i="5"/>
  <c r="I53" i="5"/>
  <c r="H53" i="5"/>
  <c r="C53" i="5"/>
  <c r="B53" i="5"/>
  <c r="B3" i="5"/>
  <c r="K3" i="5"/>
  <c r="J3" i="5"/>
  <c r="G3" i="5"/>
  <c r="F3" i="5"/>
  <c r="L3" i="5"/>
  <c r="C5" i="6" s="1"/>
  <c r="H3" i="5"/>
  <c r="E3" i="5"/>
  <c r="D3" i="5"/>
  <c r="I3" i="5"/>
  <c r="C3" i="5"/>
  <c r="E46" i="5"/>
  <c r="L46" i="5"/>
  <c r="G46" i="5"/>
  <c r="F46" i="5"/>
  <c r="C46" i="5"/>
  <c r="K46" i="5"/>
  <c r="B46" i="5"/>
  <c r="J46" i="5"/>
  <c r="I46" i="5"/>
  <c r="H46" i="5"/>
  <c r="D46" i="5"/>
  <c r="F109" i="5"/>
  <c r="G109" i="5"/>
  <c r="E109" i="5"/>
  <c r="J109" i="5"/>
  <c r="I109" i="5"/>
  <c r="C109" i="5"/>
  <c r="B109" i="5"/>
  <c r="L109" i="5"/>
  <c r="D109" i="5"/>
  <c r="K109" i="5"/>
  <c r="H109" i="5"/>
  <c r="F121" i="5"/>
  <c r="E121" i="5"/>
  <c r="D121" i="5"/>
  <c r="C121" i="5"/>
  <c r="B121" i="5"/>
  <c r="J121" i="5"/>
  <c r="I121" i="5"/>
  <c r="H121" i="5"/>
  <c r="G121" i="5"/>
  <c r="L121" i="5"/>
  <c r="K121" i="5"/>
  <c r="K47" i="5"/>
  <c r="G47" i="5"/>
  <c r="H47" i="5"/>
  <c r="F47" i="5"/>
  <c r="J47" i="5"/>
  <c r="L47" i="5"/>
  <c r="B47" i="5"/>
  <c r="I47" i="5"/>
  <c r="E47" i="5"/>
  <c r="D47" i="5"/>
  <c r="C47" i="5"/>
  <c r="B165" i="5"/>
  <c r="I165" i="5"/>
  <c r="H165" i="5"/>
  <c r="G165" i="5"/>
  <c r="F165" i="5"/>
  <c r="K165" i="5"/>
  <c r="L165" i="5"/>
  <c r="J165" i="5"/>
  <c r="E165" i="5"/>
  <c r="D165" i="5"/>
  <c r="C165" i="5"/>
  <c r="F118" i="5"/>
  <c r="E118" i="5"/>
  <c r="B118" i="5"/>
  <c r="D118" i="5"/>
  <c r="C118" i="5"/>
  <c r="K118" i="5"/>
  <c r="J118" i="5"/>
  <c r="I118" i="5"/>
  <c r="H118" i="5"/>
  <c r="G118" i="5"/>
  <c r="L118" i="5"/>
  <c r="F91" i="5"/>
  <c r="L91" i="5"/>
  <c r="H91" i="5"/>
  <c r="G91" i="5"/>
  <c r="B91" i="5"/>
  <c r="K91" i="5"/>
  <c r="J91" i="5"/>
  <c r="I91" i="5"/>
  <c r="E91" i="5"/>
  <c r="D91" i="5"/>
  <c r="C91" i="5"/>
  <c r="L188" i="5"/>
  <c r="K188" i="5"/>
  <c r="D188" i="5"/>
  <c r="C188" i="5"/>
  <c r="G188" i="5"/>
  <c r="F188" i="5"/>
  <c r="E188" i="5"/>
  <c r="B188" i="5"/>
  <c r="I188" i="5"/>
  <c r="H188" i="5"/>
  <c r="J188" i="5"/>
  <c r="L146" i="5"/>
  <c r="K146" i="5"/>
  <c r="B146" i="5"/>
  <c r="E146" i="5"/>
  <c r="D146" i="5"/>
  <c r="C146" i="5"/>
  <c r="J146" i="5"/>
  <c r="I146" i="5"/>
  <c r="H146" i="5"/>
  <c r="G146" i="5"/>
  <c r="F146" i="5"/>
  <c r="L161" i="5"/>
  <c r="K161" i="5"/>
  <c r="D161" i="5"/>
  <c r="C161" i="5"/>
  <c r="B161" i="5"/>
  <c r="E161" i="5"/>
  <c r="G161" i="5"/>
  <c r="F161" i="5"/>
  <c r="J161" i="5"/>
  <c r="I161" i="5"/>
  <c r="H161" i="5"/>
  <c r="L101" i="5"/>
  <c r="G101" i="5"/>
  <c r="F101" i="5"/>
  <c r="E101" i="5"/>
  <c r="C101" i="5"/>
  <c r="B101" i="5"/>
  <c r="H101" i="5"/>
  <c r="D101" i="5"/>
  <c r="K101" i="5"/>
  <c r="J101" i="5"/>
  <c r="I101" i="5"/>
  <c r="F13" i="6"/>
  <c r="H15" i="2" s="1"/>
  <c r="E6" i="6"/>
  <c r="B3" i="6"/>
  <c r="E5" i="2" s="1"/>
  <c r="E13" i="6"/>
  <c r="B10" i="6"/>
  <c r="E12" i="2" s="1"/>
  <c r="F2" i="6"/>
  <c r="H4" i="2" s="1"/>
  <c r="B13" i="6"/>
  <c r="E15" i="2" s="1"/>
  <c r="E8" i="6"/>
  <c r="F12" i="6"/>
  <c r="H14" i="2" s="1"/>
  <c r="E12" i="6"/>
  <c r="B8" i="6"/>
  <c r="E10" i="2" s="1"/>
  <c r="F7" i="6"/>
  <c r="H9" i="2" s="1"/>
  <c r="B12" i="6"/>
  <c r="E14" i="2" s="1"/>
  <c r="B7" i="6"/>
  <c r="E9" i="2" s="1"/>
  <c r="F11" i="6"/>
  <c r="H13" i="2" s="1"/>
  <c r="B6" i="6"/>
  <c r="E8" i="2" s="1"/>
  <c r="E11" i="6"/>
  <c r="F5" i="6"/>
  <c r="H7" i="2" s="1"/>
  <c r="F4" i="6"/>
  <c r="H6" i="2" s="1"/>
  <c r="B11" i="6"/>
  <c r="E13" i="2" s="1"/>
  <c r="E4" i="6"/>
  <c r="F10" i="6"/>
  <c r="H12" i="2" s="1"/>
  <c r="E2" i="6"/>
  <c r="E10" i="6"/>
  <c r="F9" i="6"/>
  <c r="H11" i="2" s="1"/>
  <c r="E9" i="6"/>
  <c r="B9" i="6"/>
  <c r="E11" i="2" s="1"/>
  <c r="F8" i="6"/>
  <c r="H10" i="2" s="1"/>
  <c r="E7" i="6"/>
  <c r="E5" i="6"/>
  <c r="B5" i="6"/>
  <c r="E7" i="2" s="1"/>
  <c r="F3" i="6"/>
  <c r="H5" i="2" s="1"/>
  <c r="F6" i="6"/>
  <c r="H8" i="2" s="1"/>
  <c r="E3" i="6"/>
  <c r="B2" i="6"/>
  <c r="E4" i="2" s="1"/>
  <c r="B4" i="6"/>
  <c r="E6" i="2" s="1"/>
  <c r="B111" i="5"/>
  <c r="J111" i="5"/>
  <c r="I111" i="5"/>
  <c r="L111" i="5"/>
  <c r="H111" i="5"/>
  <c r="K111" i="5"/>
  <c r="D111" i="5"/>
  <c r="C111" i="5"/>
  <c r="G111" i="5"/>
  <c r="F111" i="5"/>
  <c r="E111" i="5"/>
  <c r="F36" i="5"/>
  <c r="C36" i="5"/>
  <c r="B36" i="5"/>
  <c r="L36" i="5"/>
  <c r="K36" i="5"/>
  <c r="J36" i="5"/>
  <c r="I36" i="5"/>
  <c r="H36" i="5"/>
  <c r="G36" i="5"/>
  <c r="E36" i="5"/>
  <c r="D36" i="5"/>
  <c r="L200" i="5"/>
  <c r="K200" i="5"/>
  <c r="B200" i="5"/>
  <c r="G200" i="5"/>
  <c r="F200" i="5"/>
  <c r="E200" i="5"/>
  <c r="C200" i="5"/>
  <c r="D200" i="5"/>
  <c r="J200" i="5"/>
  <c r="I200" i="5"/>
  <c r="H200" i="5"/>
  <c r="F160" i="5"/>
  <c r="E160" i="5"/>
  <c r="D160" i="5"/>
  <c r="C160" i="5"/>
  <c r="H160" i="5"/>
  <c r="G160" i="5"/>
  <c r="B160" i="5"/>
  <c r="L160" i="5"/>
  <c r="K160" i="5"/>
  <c r="J160" i="5"/>
  <c r="I160" i="5"/>
  <c r="E54" i="5"/>
  <c r="D54" i="5"/>
  <c r="I54" i="5"/>
  <c r="H54" i="5"/>
  <c r="L54" i="5"/>
  <c r="K54" i="5"/>
  <c r="C54" i="5"/>
  <c r="B54" i="5"/>
  <c r="J54" i="5"/>
  <c r="G54" i="5"/>
  <c r="F54" i="5"/>
  <c r="D123" i="5"/>
  <c r="L123" i="5"/>
  <c r="E123" i="5"/>
  <c r="B123" i="5"/>
  <c r="C123" i="5"/>
  <c r="H123" i="5"/>
  <c r="G123" i="5"/>
  <c r="F123" i="5"/>
  <c r="K123" i="5"/>
  <c r="J123" i="5"/>
  <c r="I123" i="5"/>
  <c r="K56" i="5"/>
  <c r="G56" i="5"/>
  <c r="F56" i="5"/>
  <c r="L56" i="5"/>
  <c r="J56" i="5"/>
  <c r="I56" i="5"/>
  <c r="B56" i="5"/>
  <c r="H56" i="5"/>
  <c r="E56" i="5"/>
  <c r="D56" i="5"/>
  <c r="C56" i="5"/>
  <c r="F199" i="5"/>
  <c r="E199" i="5"/>
  <c r="B199" i="5"/>
  <c r="I199" i="5"/>
  <c r="H199" i="5"/>
  <c r="L199" i="5"/>
  <c r="K199" i="5"/>
  <c r="J199" i="5"/>
  <c r="G199" i="5"/>
  <c r="D199" i="5"/>
  <c r="C199" i="5"/>
  <c r="D33" i="5"/>
  <c r="J33" i="5"/>
  <c r="I33" i="5"/>
  <c r="H33" i="5"/>
  <c r="G33" i="5"/>
  <c r="F33" i="5"/>
  <c r="C33" i="5"/>
  <c r="E33" i="5"/>
  <c r="L33" i="5"/>
  <c r="K33" i="5"/>
  <c r="B33" i="5"/>
  <c r="K35" i="5"/>
  <c r="J35" i="5"/>
  <c r="I35" i="5"/>
  <c r="H35" i="5"/>
  <c r="G35" i="5"/>
  <c r="L35" i="5"/>
  <c r="F35" i="5"/>
  <c r="C35" i="5"/>
  <c r="E35" i="5"/>
  <c r="D35" i="5"/>
  <c r="B35" i="5"/>
  <c r="F90" i="5"/>
  <c r="E90" i="5"/>
  <c r="J90" i="5"/>
  <c r="H90" i="5"/>
  <c r="G90" i="5"/>
  <c r="L90" i="5"/>
  <c r="D90" i="5"/>
  <c r="B90" i="5"/>
  <c r="C90" i="5"/>
  <c r="K90" i="5"/>
  <c r="I90" i="5"/>
  <c r="L134" i="5"/>
  <c r="K134" i="5"/>
  <c r="D134" i="5"/>
  <c r="C134" i="5"/>
  <c r="H134" i="5"/>
  <c r="B134" i="5"/>
  <c r="I134" i="5"/>
  <c r="F134" i="5"/>
  <c r="G134" i="5"/>
  <c r="E134" i="5"/>
  <c r="J134" i="5"/>
  <c r="F103" i="5"/>
  <c r="B103" i="5"/>
  <c r="D103" i="5"/>
  <c r="G103" i="5"/>
  <c r="E103" i="5"/>
  <c r="K103" i="5"/>
  <c r="L103" i="5"/>
  <c r="J103" i="5"/>
  <c r="I103" i="5"/>
  <c r="H103" i="5"/>
  <c r="C103" i="5"/>
  <c r="E34" i="5"/>
  <c r="K34" i="5"/>
  <c r="B34" i="5"/>
  <c r="G34" i="5"/>
  <c r="F34" i="5"/>
  <c r="D34" i="5"/>
  <c r="J34" i="5"/>
  <c r="I34" i="5"/>
  <c r="H34" i="5"/>
  <c r="L34" i="5"/>
  <c r="C34" i="5"/>
  <c r="F97" i="5"/>
  <c r="K97" i="5"/>
  <c r="D97" i="5"/>
  <c r="C97" i="5"/>
  <c r="E97" i="5"/>
  <c r="B97" i="5"/>
  <c r="I97" i="5"/>
  <c r="H97" i="5"/>
  <c r="G97" i="5"/>
  <c r="L97" i="5"/>
  <c r="J97" i="5"/>
  <c r="F27" i="5"/>
  <c r="E27" i="5"/>
  <c r="D27" i="5"/>
  <c r="C27" i="5"/>
  <c r="I27" i="5"/>
  <c r="H27" i="5"/>
  <c r="G27" i="5"/>
  <c r="L27" i="5"/>
  <c r="K27" i="5"/>
  <c r="J27" i="5"/>
  <c r="B27" i="5"/>
  <c r="L89" i="5"/>
  <c r="I89" i="5"/>
  <c r="H89" i="5"/>
  <c r="G89" i="5"/>
  <c r="D89" i="5"/>
  <c r="C89" i="5"/>
  <c r="F89" i="5"/>
  <c r="E89" i="5"/>
  <c r="K89" i="5"/>
  <c r="J89" i="5"/>
  <c r="B89" i="5"/>
  <c r="K14" i="5"/>
  <c r="C14" i="5"/>
  <c r="L14" i="5"/>
  <c r="C8" i="6" s="1"/>
  <c r="J14" i="5"/>
  <c r="G14" i="5"/>
  <c r="F14" i="5"/>
  <c r="E14" i="5"/>
  <c r="B14" i="5"/>
  <c r="D14" i="5"/>
  <c r="I14" i="5"/>
  <c r="H14" i="5"/>
  <c r="K29" i="5"/>
  <c r="B29" i="5"/>
  <c r="L29" i="5"/>
  <c r="F29" i="5"/>
  <c r="E29" i="5"/>
  <c r="C29" i="5"/>
  <c r="I29" i="5"/>
  <c r="D29" i="5"/>
  <c r="H29" i="5"/>
  <c r="G29" i="5"/>
  <c r="J29" i="5"/>
  <c r="F9" i="5"/>
  <c r="D9" i="5"/>
  <c r="C9" i="5"/>
  <c r="I9" i="5"/>
  <c r="G9" i="5"/>
  <c r="H9" i="5"/>
  <c r="K9" i="5"/>
  <c r="J9" i="5"/>
  <c r="E9" i="5"/>
  <c r="B9" i="5"/>
  <c r="L9" i="5"/>
  <c r="E64" i="5"/>
  <c r="F64" i="5"/>
  <c r="D64" i="5"/>
  <c r="J64" i="5"/>
  <c r="H64" i="5"/>
  <c r="I64" i="5"/>
  <c r="L64" i="5"/>
  <c r="K64" i="5"/>
  <c r="G64" i="5"/>
  <c r="C64" i="5"/>
  <c r="B64" i="5"/>
  <c r="D6" i="5"/>
  <c r="B6" i="5"/>
  <c r="K6" i="5"/>
  <c r="L6" i="5"/>
  <c r="J6" i="5"/>
  <c r="I6" i="5"/>
  <c r="H6" i="5"/>
  <c r="G6" i="5"/>
  <c r="F6" i="5"/>
  <c r="E6" i="5"/>
  <c r="C6" i="5"/>
  <c r="F184" i="5"/>
  <c r="E184" i="5"/>
  <c r="L184" i="5"/>
  <c r="K184" i="5"/>
  <c r="G184" i="5"/>
  <c r="D184" i="5"/>
  <c r="J184" i="5"/>
  <c r="I184" i="5"/>
  <c r="H184" i="5"/>
  <c r="C184" i="5"/>
  <c r="B184" i="5"/>
  <c r="K2" i="5"/>
  <c r="C2" i="5"/>
  <c r="B2" i="5"/>
  <c r="G2" i="5"/>
  <c r="E2" i="5"/>
  <c r="F2" i="5"/>
  <c r="J2" i="5"/>
  <c r="I2" i="5"/>
  <c r="H2" i="5"/>
  <c r="D2" i="5"/>
  <c r="L2" i="5"/>
  <c r="J201" i="5"/>
  <c r="I201" i="5"/>
  <c r="B201" i="5"/>
  <c r="L201" i="5"/>
  <c r="K201" i="5"/>
  <c r="D201" i="5"/>
  <c r="C201" i="5"/>
  <c r="F201" i="5"/>
  <c r="E201" i="5"/>
  <c r="H201" i="5"/>
  <c r="G201" i="5"/>
  <c r="D156" i="5"/>
  <c r="C156" i="5"/>
  <c r="F156" i="5"/>
  <c r="E156" i="5"/>
  <c r="J156" i="5"/>
  <c r="I156" i="5"/>
  <c r="L156" i="5"/>
  <c r="K156" i="5"/>
  <c r="H156" i="5"/>
  <c r="G156" i="5"/>
  <c r="B156" i="5"/>
  <c r="L128" i="5"/>
  <c r="K128" i="5"/>
  <c r="J128" i="5"/>
  <c r="C128" i="5"/>
  <c r="B128" i="5"/>
  <c r="I128" i="5"/>
  <c r="G128" i="5"/>
  <c r="H128" i="5"/>
  <c r="E128" i="5"/>
  <c r="D128" i="5"/>
  <c r="F128" i="5"/>
  <c r="D87" i="5"/>
  <c r="C87" i="5"/>
  <c r="B87" i="5"/>
  <c r="K87" i="5"/>
  <c r="J87" i="5"/>
  <c r="I87" i="5"/>
  <c r="G87" i="5"/>
  <c r="H87" i="5"/>
  <c r="F87" i="5"/>
  <c r="E87" i="5"/>
  <c r="L87" i="5"/>
  <c r="E25" i="5"/>
  <c r="D25" i="5"/>
  <c r="J25" i="5"/>
  <c r="I25" i="5"/>
  <c r="B25" i="5"/>
  <c r="H25" i="5"/>
  <c r="G25" i="5"/>
  <c r="F25" i="5"/>
  <c r="L25" i="5"/>
  <c r="K25" i="5"/>
  <c r="C25" i="5"/>
  <c r="F163" i="5"/>
  <c r="E163" i="5"/>
  <c r="B163" i="5"/>
  <c r="H163" i="5"/>
  <c r="G163" i="5"/>
  <c r="D163" i="5"/>
  <c r="C163" i="5"/>
  <c r="L163" i="5"/>
  <c r="K163" i="5"/>
  <c r="J163" i="5"/>
  <c r="I163" i="5"/>
  <c r="L143" i="5"/>
  <c r="K143" i="5"/>
  <c r="C143" i="5"/>
  <c r="B143" i="5"/>
  <c r="E143" i="5"/>
  <c r="D143" i="5"/>
  <c r="J143" i="5"/>
  <c r="I143" i="5"/>
  <c r="H143" i="5"/>
  <c r="G143" i="5"/>
  <c r="F143" i="5"/>
  <c r="F187" i="5"/>
  <c r="E187" i="5"/>
  <c r="J187" i="5"/>
  <c r="L187" i="5"/>
  <c r="I187" i="5"/>
  <c r="H187" i="5"/>
  <c r="G187" i="5"/>
  <c r="K187" i="5"/>
  <c r="D187" i="5"/>
  <c r="C187" i="5"/>
  <c r="B187" i="5"/>
  <c r="K77" i="5"/>
  <c r="J77" i="5"/>
  <c r="L77" i="5"/>
  <c r="I77" i="5"/>
  <c r="D77" i="5"/>
  <c r="B77" i="5"/>
  <c r="C77" i="5"/>
  <c r="H77" i="5"/>
  <c r="G77" i="5"/>
  <c r="F77" i="5"/>
  <c r="E77" i="5"/>
  <c r="L104" i="5"/>
  <c r="I104" i="5"/>
  <c r="H104" i="5"/>
  <c r="K104" i="5"/>
  <c r="J104" i="5"/>
  <c r="D104" i="5"/>
  <c r="C104" i="5"/>
  <c r="B104" i="5"/>
  <c r="G104" i="5"/>
  <c r="F104" i="5"/>
  <c r="E104" i="5"/>
  <c r="H66" i="5"/>
  <c r="B66" i="5"/>
  <c r="K66" i="5"/>
  <c r="L66" i="5"/>
  <c r="C66" i="5"/>
  <c r="F66" i="5"/>
  <c r="E66" i="5"/>
  <c r="D66" i="5"/>
  <c r="G66" i="5"/>
  <c r="J66" i="5"/>
  <c r="I66" i="5"/>
  <c r="L182" i="5"/>
  <c r="K182" i="5"/>
  <c r="B182" i="5"/>
  <c r="F182" i="5"/>
  <c r="E182" i="5"/>
  <c r="J182" i="5"/>
  <c r="G182" i="5"/>
  <c r="D182" i="5"/>
  <c r="I182" i="5"/>
  <c r="H182" i="5"/>
  <c r="C182" i="5"/>
  <c r="F127" i="5"/>
  <c r="E127" i="5"/>
  <c r="H127" i="5"/>
  <c r="G127" i="5"/>
  <c r="C127" i="5"/>
  <c r="B127" i="5"/>
  <c r="I127" i="5"/>
  <c r="D127" i="5"/>
  <c r="J127" i="5"/>
  <c r="L127" i="5"/>
  <c r="K127" i="5"/>
  <c r="E13" i="5"/>
  <c r="L13" i="5"/>
  <c r="K13" i="5"/>
  <c r="J13" i="5"/>
  <c r="I13" i="5"/>
  <c r="H13" i="5"/>
  <c r="G13" i="5"/>
  <c r="F13" i="5"/>
  <c r="D13" i="5"/>
  <c r="C13" i="5"/>
  <c r="B13" i="5"/>
  <c r="E58" i="5"/>
  <c r="I58" i="5"/>
  <c r="F58" i="5"/>
  <c r="D58" i="5"/>
  <c r="J58" i="5"/>
  <c r="H58" i="5"/>
  <c r="G58" i="5"/>
  <c r="B58" i="5"/>
  <c r="K58" i="5"/>
  <c r="L58" i="5"/>
  <c r="C58" i="5"/>
  <c r="F171" i="5"/>
  <c r="E171" i="5"/>
  <c r="J171" i="5"/>
  <c r="H171" i="5"/>
  <c r="I171" i="5"/>
  <c r="G171" i="5"/>
  <c r="D171" i="5"/>
  <c r="C171" i="5"/>
  <c r="L171" i="5"/>
  <c r="K171" i="5"/>
  <c r="B171" i="5"/>
  <c r="L98" i="5"/>
  <c r="E98" i="5"/>
  <c r="D98" i="5"/>
  <c r="K98" i="5"/>
  <c r="B98" i="5"/>
  <c r="H98" i="5"/>
  <c r="F98" i="5"/>
  <c r="G98" i="5"/>
  <c r="J98" i="5"/>
  <c r="I98" i="5"/>
  <c r="C98" i="5"/>
  <c r="J81" i="5"/>
  <c r="L81" i="5"/>
  <c r="K81" i="5"/>
  <c r="E81" i="5"/>
  <c r="D81" i="5"/>
  <c r="B81" i="5"/>
  <c r="I81" i="5"/>
  <c r="H81" i="5"/>
  <c r="G81" i="5"/>
  <c r="F81" i="5"/>
  <c r="C81" i="5"/>
  <c r="E37" i="5"/>
  <c r="G37" i="5"/>
  <c r="F37" i="5"/>
  <c r="I37" i="5"/>
  <c r="H37" i="5"/>
  <c r="L37" i="5"/>
  <c r="K37" i="5"/>
  <c r="J37" i="5"/>
  <c r="D37" i="5"/>
  <c r="C37" i="5"/>
  <c r="B37" i="5"/>
  <c r="K74" i="5"/>
  <c r="J74" i="5"/>
  <c r="L74" i="5"/>
  <c r="I74" i="5"/>
  <c r="F74" i="5"/>
  <c r="E74" i="5"/>
  <c r="H74" i="5"/>
  <c r="D74" i="5"/>
  <c r="G74" i="5"/>
  <c r="C74" i="5"/>
  <c r="B74" i="5"/>
  <c r="B195" i="5"/>
  <c r="F195" i="5"/>
  <c r="D195" i="5"/>
  <c r="C195" i="5"/>
  <c r="L195" i="5"/>
  <c r="I195" i="5"/>
  <c r="H195" i="5"/>
  <c r="G195" i="5"/>
  <c r="E195" i="5"/>
  <c r="J195" i="5"/>
  <c r="K195" i="5"/>
  <c r="F148" i="5"/>
  <c r="E148" i="5"/>
  <c r="D148" i="5"/>
  <c r="C148" i="5"/>
  <c r="L148" i="5"/>
  <c r="J148" i="5"/>
  <c r="K148" i="5"/>
  <c r="B148" i="5"/>
  <c r="H148" i="5"/>
  <c r="I148" i="5"/>
  <c r="G148" i="5"/>
  <c r="L185" i="5"/>
  <c r="K185" i="5"/>
  <c r="J185" i="5"/>
  <c r="I185" i="5"/>
  <c r="H185" i="5"/>
  <c r="G185" i="5"/>
  <c r="C185" i="5"/>
  <c r="B185" i="5"/>
  <c r="F185" i="5"/>
  <c r="E185" i="5"/>
  <c r="D185" i="5"/>
  <c r="F198" i="5"/>
  <c r="E198" i="5"/>
  <c r="H198" i="5"/>
  <c r="G198" i="5"/>
  <c r="J198" i="5"/>
  <c r="I198" i="5"/>
  <c r="L198" i="5"/>
  <c r="K198" i="5"/>
  <c r="B198" i="5"/>
  <c r="D198" i="5"/>
  <c r="C198" i="5"/>
  <c r="E28" i="5"/>
  <c r="G28" i="5"/>
  <c r="B28" i="5"/>
  <c r="J28" i="5"/>
  <c r="H28" i="5"/>
  <c r="I28" i="5"/>
  <c r="F28" i="5"/>
  <c r="D28" i="5"/>
  <c r="C28" i="5"/>
  <c r="L28" i="5"/>
  <c r="K28" i="5"/>
  <c r="E16" i="5"/>
  <c r="J16" i="5"/>
  <c r="I16" i="5"/>
  <c r="H16" i="5"/>
  <c r="G16" i="5"/>
  <c r="L16" i="5"/>
  <c r="F16" i="5"/>
  <c r="K16" i="5"/>
  <c r="D16" i="5"/>
  <c r="C16" i="5"/>
  <c r="B16" i="5"/>
  <c r="F145" i="5"/>
  <c r="E145" i="5"/>
  <c r="L145" i="5"/>
  <c r="D145" i="5"/>
  <c r="C145" i="5"/>
  <c r="B145" i="5"/>
  <c r="J145" i="5"/>
  <c r="K145" i="5"/>
  <c r="I145" i="5"/>
  <c r="H145" i="5"/>
  <c r="G145" i="5"/>
  <c r="J174" i="5"/>
  <c r="I174" i="5"/>
  <c r="F174" i="5"/>
  <c r="E174" i="5"/>
  <c r="D174" i="5"/>
  <c r="L174" i="5"/>
  <c r="K174" i="5"/>
  <c r="H174" i="5"/>
  <c r="C174" i="5"/>
  <c r="G174" i="5"/>
  <c r="B174" i="5"/>
  <c r="J147" i="5"/>
  <c r="I147" i="5"/>
  <c r="L147" i="5"/>
  <c r="G147" i="5"/>
  <c r="F147" i="5"/>
  <c r="K147" i="5"/>
  <c r="H147" i="5"/>
  <c r="D147" i="5"/>
  <c r="C147" i="5"/>
  <c r="B147" i="5"/>
  <c r="E147" i="5"/>
  <c r="F151" i="5"/>
  <c r="E151" i="5"/>
  <c r="B151" i="5"/>
  <c r="J151" i="5"/>
  <c r="I151" i="5"/>
  <c r="G151" i="5"/>
  <c r="H151" i="5"/>
  <c r="L151" i="5"/>
  <c r="K151" i="5"/>
  <c r="D151" i="5"/>
  <c r="C151" i="5"/>
  <c r="L86" i="5"/>
  <c r="E86" i="5"/>
  <c r="D86" i="5"/>
  <c r="C86" i="5"/>
  <c r="B86" i="5"/>
  <c r="K86" i="5"/>
  <c r="J86" i="5"/>
  <c r="I86" i="5"/>
  <c r="H86" i="5"/>
  <c r="G86" i="5"/>
  <c r="F86" i="5"/>
  <c r="K69" i="5"/>
  <c r="G69" i="5"/>
  <c r="F69" i="5"/>
  <c r="L69" i="5"/>
  <c r="J69" i="5"/>
  <c r="E69" i="5"/>
  <c r="C69" i="5"/>
  <c r="D69" i="5"/>
  <c r="B69" i="5"/>
  <c r="I69" i="5"/>
  <c r="H69" i="5"/>
  <c r="F175" i="5"/>
  <c r="E175" i="5"/>
  <c r="J175" i="5"/>
  <c r="I175" i="5"/>
  <c r="C175" i="5"/>
  <c r="B175" i="5"/>
  <c r="H175" i="5"/>
  <c r="G175" i="5"/>
  <c r="D175" i="5"/>
  <c r="L175" i="5"/>
  <c r="K175" i="5"/>
  <c r="L72" i="5"/>
  <c r="E72" i="5"/>
  <c r="D72" i="5"/>
  <c r="C72" i="5"/>
  <c r="B72" i="5"/>
  <c r="K72" i="5"/>
  <c r="J72" i="5"/>
  <c r="I72" i="5"/>
  <c r="G72" i="5"/>
  <c r="F72" i="5"/>
  <c r="H72" i="5"/>
  <c r="F196" i="5"/>
  <c r="E196" i="5"/>
  <c r="J196" i="5"/>
  <c r="I196" i="5"/>
  <c r="G196" i="5"/>
  <c r="D196" i="5"/>
  <c r="L196" i="5"/>
  <c r="C196" i="5"/>
  <c r="K196" i="5"/>
  <c r="H196" i="5"/>
  <c r="B196" i="5"/>
  <c r="F178" i="5"/>
  <c r="E178" i="5"/>
  <c r="B178" i="5"/>
  <c r="D178" i="5"/>
  <c r="H178" i="5"/>
  <c r="G178" i="5"/>
  <c r="C178" i="5"/>
  <c r="J178" i="5"/>
  <c r="I178" i="5"/>
  <c r="L178" i="5"/>
  <c r="K178" i="5"/>
  <c r="H186" i="5"/>
  <c r="G186" i="5"/>
  <c r="F186" i="5"/>
  <c r="E186" i="5"/>
  <c r="B186" i="5"/>
  <c r="D186" i="5"/>
  <c r="C186" i="5"/>
  <c r="J186" i="5"/>
  <c r="I186" i="5"/>
  <c r="L186" i="5"/>
  <c r="K186" i="5"/>
  <c r="E49" i="5"/>
  <c r="B49" i="5"/>
  <c r="D49" i="5"/>
  <c r="C49" i="5"/>
  <c r="I49" i="5"/>
  <c r="H49" i="5"/>
  <c r="G49" i="5"/>
  <c r="F49" i="5"/>
  <c r="L49" i="5"/>
  <c r="K49" i="5"/>
  <c r="J49" i="5"/>
  <c r="B15" i="2"/>
  <c r="L107" i="5"/>
  <c r="K107" i="5"/>
  <c r="J107" i="5"/>
  <c r="G107" i="5"/>
  <c r="F107" i="5"/>
  <c r="I107" i="5"/>
  <c r="H107" i="5"/>
  <c r="B107" i="5"/>
  <c r="E107" i="5"/>
  <c r="D107" i="5"/>
  <c r="C107" i="5"/>
  <c r="K26" i="5"/>
  <c r="L26" i="5"/>
  <c r="D26" i="5"/>
  <c r="C26" i="5"/>
  <c r="F26" i="5"/>
  <c r="B26" i="5"/>
  <c r="E26" i="5"/>
  <c r="H26" i="5"/>
  <c r="I26" i="5"/>
  <c r="J26" i="5"/>
  <c r="G26" i="5"/>
  <c r="L158" i="5"/>
  <c r="K158" i="5"/>
  <c r="E158" i="5"/>
  <c r="D158" i="5"/>
  <c r="J158" i="5"/>
  <c r="B158" i="5"/>
  <c r="F158" i="5"/>
  <c r="C158" i="5"/>
  <c r="I158" i="5"/>
  <c r="H158" i="5"/>
  <c r="G158" i="5"/>
  <c r="L135" i="5"/>
  <c r="K135" i="5"/>
  <c r="C135" i="5"/>
  <c r="B135" i="5"/>
  <c r="G135" i="5"/>
  <c r="F135" i="5"/>
  <c r="E135" i="5"/>
  <c r="J135" i="5"/>
  <c r="I135" i="5"/>
  <c r="H135" i="5"/>
  <c r="D135" i="5"/>
  <c r="L167" i="5"/>
  <c r="K167" i="5"/>
  <c r="J167" i="5"/>
  <c r="I167" i="5"/>
  <c r="H167" i="5"/>
  <c r="G167" i="5"/>
  <c r="F167" i="5"/>
  <c r="B167" i="5"/>
  <c r="C167" i="5"/>
  <c r="E167" i="5"/>
  <c r="D167" i="5"/>
  <c r="D3" i="6" l="1"/>
  <c r="G5" i="2" s="1"/>
  <c r="F5" i="2"/>
  <c r="D5" i="6"/>
  <c r="G7" i="2" s="1"/>
  <c r="F7" i="2"/>
  <c r="D8" i="6"/>
  <c r="G10" i="2" s="1"/>
  <c r="F10" i="2"/>
  <c r="C7" i="6"/>
  <c r="C10" i="6"/>
  <c r="C12" i="6"/>
  <c r="C2" i="6"/>
  <c r="C4" i="6"/>
  <c r="C6" i="6"/>
  <c r="C9" i="6"/>
  <c r="C13" i="6"/>
  <c r="C11" i="6"/>
  <c r="D6" i="6" l="1"/>
  <c r="G8" i="2" s="1"/>
  <c r="F8" i="2"/>
  <c r="D10" i="6"/>
  <c r="G12" i="2" s="1"/>
  <c r="F12" i="2"/>
  <c r="D11" i="6"/>
  <c r="G13" i="2" s="1"/>
  <c r="F13" i="2"/>
  <c r="D9" i="6"/>
  <c r="G11" i="2" s="1"/>
  <c r="F11" i="2"/>
  <c r="F6" i="2"/>
  <c r="D4" i="6"/>
  <c r="G6" i="2" s="1"/>
  <c r="D2" i="6"/>
  <c r="G4" i="2" s="1"/>
  <c r="F4" i="2"/>
  <c r="D12" i="6"/>
  <c r="G14" i="2" s="1"/>
  <c r="F14" i="2"/>
  <c r="D7" i="6"/>
  <c r="G9" i="2" s="1"/>
  <c r="F9" i="2"/>
  <c r="D13" i="6"/>
  <c r="G15" i="2" s="1"/>
  <c r="F15" i="2"/>
</calcChain>
</file>

<file path=xl/sharedStrings.xml><?xml version="1.0" encoding="utf-8"?>
<sst xmlns="http://schemas.openxmlformats.org/spreadsheetml/2006/main" count="4557" uniqueCount="1843">
  <si>
    <t>团队成员年度学习计划模板 - 使用说明 V1.3</t>
  </si>
  <si>
    <t>基于能力胜任模型，完成能力自评、差距识别、年度学习计划制定与执行跟踪</t>
  </si>
  <si>
    <t>一、这个模板用于什么</t>
  </si>
  <si>
    <t>二、掌握度评分标准</t>
  </si>
  <si>
    <t>用途</t>
  </si>
  <si>
    <t>帮助团队成员基于能力模型识别需要补充的能力项，选择学习材料，制定 1 年周期、可跟踪、可验收的学习计划。</t>
  </si>
  <si>
    <t>掌握度</t>
  </si>
  <si>
    <t>说明</t>
  </si>
  <si>
    <t>职级参考</t>
  </si>
  <si>
    <t>适用对象</t>
  </si>
  <si>
    <t>技术架构与开发专业线成员；当前能力模型覆盖 P01 Data Infra、P02 AI Infra / Agent、P03 Coding、C01 基本办公、C02 沟通协作、C03 学习创新。</t>
  </si>
  <si>
    <t>0</t>
  </si>
  <si>
    <t>未接触 / 不具备可验证输出</t>
  </si>
  <si>
    <t>-</t>
  </si>
  <si>
    <t>核心原则</t>
  </si>
  <si>
    <t>以“三级能力项”为计划和跟踪的最小单元；学习结果应尽量有实操、Demo、脚本、配置截图、验证报告或可检查文档。</t>
  </si>
  <si>
    <t>1</t>
  </si>
  <si>
    <t>了解概念，需要他人指导或协助</t>
  </si>
  <si>
    <t>入门</t>
  </si>
  <si>
    <t>2</t>
  </si>
  <si>
    <t>标准场景可独立执行，有基础实操输出</t>
  </si>
  <si>
    <t>P4</t>
  </si>
  <si>
    <t>3</t>
  </si>
  <si>
    <t>能处理常见问题，能闭环基础异常</t>
  </si>
  <si>
    <t>P5</t>
  </si>
  <si>
    <t>4</t>
  </si>
  <si>
    <t>能设计方案、组织实施并处理复杂场景</t>
  </si>
  <si>
    <t>P6</t>
  </si>
  <si>
    <t>5</t>
  </si>
  <si>
    <t>能主导复杂项目，沉淀规范、模板和方法论</t>
  </si>
  <si>
    <t>P7-P8</t>
  </si>
  <si>
    <t>三、填写流程</t>
  </si>
  <si>
    <t>步骤</t>
  </si>
  <si>
    <t>操作位置</t>
  </si>
  <si>
    <t>填写 / 查看内容</t>
  </si>
  <si>
    <t>结果</t>
  </si>
  <si>
    <t>02_能力差距自评</t>
  </si>
  <si>
    <t>填写当前掌握度、目标掌握度、优先级；将“是否纳入计划”选择为“是”。</t>
  </si>
  <si>
    <t>选出年度需要补齐的能力范围。</t>
  </si>
  <si>
    <t>03_年度学习计划</t>
  </si>
  <si>
    <t>自动拉取 02 中入选能力项；手填计划开始、计划截止、目标月份等计划信息。</t>
  </si>
  <si>
    <t>形成年度学习计划清单。</t>
  </si>
  <si>
    <t>04_学习执行跟踪</t>
  </si>
  <si>
    <t>自动同步 03 的计划项；维护执行状态、实际开始 / 完成、实际耗时、证据链接、完成质量、复盘结论和下步动作。</t>
  </si>
  <si>
    <t>形成学习执行记录和年度成长档案。</t>
  </si>
  <si>
    <t>05_月度复盘</t>
  </si>
  <si>
    <t>按月查看计划数、完成数、完成率、耗时和复盘记录。</t>
  </si>
  <si>
    <t>形成月度复盘与改进闭环。</t>
  </si>
  <si>
    <t>四、02 → 03 → 04 的关系</t>
  </si>
  <si>
    <t>选择需要补齐的三级能力项；不要在 02 中写详细执行记录。</t>
  </si>
  <si>
    <t>自动生成年度计划清单；用于安排年度 / 季度 / 月度节奏。</t>
  </si>
  <si>
    <t>与 03 一对一同步，不再拆分更细任务；用于记录执行状态、证据、完成质量和复盘结论。</t>
  </si>
  <si>
    <t>五、完成判定</t>
  </si>
  <si>
    <t>基本判定</t>
  </si>
  <si>
    <t>一条学习计划建议同时满足：状态为“已完成”；有证据链接或文件说明；有复盘结论；如未产出可检查材料，不建议判定为完成。</t>
  </si>
  <si>
    <t>维护建议</t>
  </si>
  <si>
    <t>先尽量固定 02/03 年度计划范围，再进入 04 跟踪执行；如中途大幅调整 02 的入选范围，需复核 04 中手填状态和证据是否仍对应正确能力项。</t>
  </si>
  <si>
    <t>个人年度学习计划看板</t>
  </si>
  <si>
    <t>成员姓名</t>
  </si>
  <si>
    <t>月份</t>
  </si>
  <si>
    <t>计划任务数</t>
  </si>
  <si>
    <t>完成任务数</t>
  </si>
  <si>
    <t>完成率</t>
  </si>
  <si>
    <t>实际耗时(h)</t>
  </si>
  <si>
    <t>当前职级</t>
  </si>
  <si>
    <t>第1月</t>
  </si>
  <si>
    <t>目标职级</t>
  </si>
  <si>
    <t>第2月</t>
  </si>
  <si>
    <t>计划开始日期</t>
  </si>
  <si>
    <t>第3月</t>
  </si>
  <si>
    <t>计划周期</t>
  </si>
  <si>
    <t>12个月</t>
  </si>
  <si>
    <t>第4月</t>
  </si>
  <si>
    <t>第5月</t>
  </si>
  <si>
    <t>第6月</t>
  </si>
  <si>
    <t>能力项总数</t>
  </si>
  <si>
    <t>第7月</t>
  </si>
  <si>
    <t>纳入计划项数</t>
  </si>
  <si>
    <t>第8月</t>
  </si>
  <si>
    <t>年度计划任务数</t>
  </si>
  <si>
    <t>第9月</t>
  </si>
  <si>
    <t>已完成任务数</t>
  </si>
  <si>
    <t>第10月</t>
  </si>
  <si>
    <t>任务完成率</t>
  </si>
  <si>
    <t>第11月</t>
  </si>
  <si>
    <t>计划耗时(h)</t>
  </si>
  <si>
    <t>第12月</t>
  </si>
  <si>
    <t>一级能力域</t>
  </si>
  <si>
    <t>高优先级</t>
  </si>
  <si>
    <t>已完成</t>
  </si>
  <si>
    <t>备注</t>
  </si>
  <si>
    <t>P01 Data Infra</t>
  </si>
  <si>
    <t>P02 AI Infra / Agent</t>
  </si>
  <si>
    <t>P03 Coding</t>
  </si>
  <si>
    <t>C01 基本办公</t>
  </si>
  <si>
    <t>C02 沟通协作</t>
  </si>
  <si>
    <t>C03 学习创新</t>
  </si>
  <si>
    <t>能力类别</t>
  </si>
  <si>
    <t>一级序号</t>
  </si>
  <si>
    <t>二级序号</t>
  </si>
  <si>
    <t>二级能力项</t>
  </si>
  <si>
    <t>三级序号</t>
  </si>
  <si>
    <t>三级能力项</t>
  </si>
  <si>
    <t>建议起始职级</t>
  </si>
  <si>
    <t>学习材料</t>
  </si>
  <si>
    <t>预期输出 / 验收方式</t>
  </si>
  <si>
    <t>预计耗时(h)</t>
  </si>
  <si>
    <t>当前掌握度(0-5)</t>
  </si>
  <si>
    <t>目标掌握度(0-5)</t>
  </si>
  <si>
    <t>差距</t>
  </si>
  <si>
    <t>优先级</t>
  </si>
  <si>
    <t>是否纳入计划</t>
  </si>
  <si>
    <t>计划季度</t>
  </si>
  <si>
    <t>计划完成月份</t>
  </si>
  <si>
    <t>完成状态</t>
  </si>
  <si>
    <t>实际输出链接/说明</t>
  </si>
  <si>
    <t>推荐行动</t>
  </si>
  <si>
    <t>入选顺序(自动)</t>
  </si>
  <si>
    <t>专业能力</t>
  </si>
  <si>
    <t>P01</t>
  </si>
  <si>
    <t>Data Infra 能力</t>
  </si>
  <si>
    <t>P01.01</t>
  </si>
  <si>
    <t>Data Infra 产品体系认知</t>
  </si>
  <si>
    <t>P01.01.01</t>
  </si>
  <si>
    <t>TDC / TDH / ArgoDB / TDS 产品定位</t>
  </si>
  <si>
    <t>P01-M001</t>
  </si>
  <si>
    <t>在测试环境分别访问 TDC、TDH、ArgoDB、TDS，识别产品入口、核心菜单、核心组件；提交产品访问截图、四个产品一句话定位和产品体系脑图。</t>
  </si>
  <si>
    <t>4–6</t>
  </si>
  <si>
    <t>未开始</t>
  </si>
  <si>
    <t>P01.01.02</t>
  </si>
  <si>
    <t>产品边界与核心能力识别</t>
  </si>
  <si>
    <t>基于真实或模拟环境梳理各产品核心能力边界；提交“产品-能力-场景”映射表，至少覆盖数据开发、治理、数据库、平台纳管、湖仓场景。</t>
  </si>
  <si>
    <t>4–8</t>
  </si>
  <si>
    <t>P01.01.03</t>
  </si>
  <si>
    <t>产品组合关系理解</t>
  </si>
  <si>
    <t>P01-M001、P01-M007</t>
  </si>
  <si>
    <t>基于一套测试部署环境绘制 TDC + TDH + ArgoDB + TDS 组合拓扑图，标注访问入口、依赖关系、数据流向和典型调用关系。</t>
  </si>
  <si>
    <t>6–10</t>
  </si>
  <si>
    <t>P01.01.04</t>
  </si>
  <si>
    <t>客户场景与产品适配判断</t>
  </si>
  <si>
    <t>选择一个典型客户场景，输出产品组合建议、适用边界、不适用边界和风险点；可附最小验证 Demo 或客户案例说明。</t>
  </si>
  <si>
    <t>8–12</t>
  </si>
  <si>
    <t>P01.01.05</t>
  </si>
  <si>
    <t>产品体系方法论沉淀</t>
  </si>
  <si>
    <t>P8</t>
  </si>
  <si>
    <t>P01-M001、P01-M011</t>
  </si>
  <si>
    <t>汇总多个项目或 Demo 经验，沉淀 Data Infra 产品选型标准、培训课件、方案模板和评审检查清单。</t>
  </si>
  <si>
    <t>16–24</t>
  </si>
  <si>
    <t>偏 P8 体系化输出</t>
  </si>
  <si>
    <t>P01.02</t>
  </si>
  <si>
    <t>TDH 平台与大数据组件能力</t>
  </si>
  <si>
    <t>P01.02.01</t>
  </si>
  <si>
    <t>TDH 环境检查与安装准备</t>
  </si>
  <si>
    <t>P01-M002</t>
  </si>
  <si>
    <t>在独立服务器或测试集群完成 OS、磁盘、IP、主机名、端口、安装包、时间同步检查；提交环境检查表、问题整改记录和安装前确认清单。</t>
  </si>
  <si>
    <t>P01.02.02</t>
  </si>
  <si>
    <t>TDH 标准部署与基础配置</t>
  </si>
  <si>
    <t>在客户正式环境或等价测试环境完成 TDH 标准部署、基础配置和服务启动；提交部署记录、部署截图、基础配置说明和问题清单。</t>
  </si>
  <si>
    <t>24–40</t>
  </si>
  <si>
    <t>P4 核心验收项</t>
  </si>
  <si>
    <t>P01.02.03</t>
  </si>
  <si>
    <t>TDH Manager 使用与集群管理</t>
  </si>
  <si>
    <t>完成 Manager 登录、服务状态查看、服务启停、配置变更、告警查看和基础操作；提交操作截图、状态截图和操作说明。</t>
  </si>
  <si>
    <t>P01.02.04</t>
  </si>
  <si>
    <t>HDFS / YARN / ZK / Kafka 基础组件认知与验证</t>
  </si>
  <si>
    <t>在 TDH 环境完成 HDFS 文件上传 / 查看、YARN 任务或队列查看、ZK / Kafka 服务状态检查；提交组件验证截图和组件作用说明。</t>
  </si>
  <si>
    <t>P01.02.05</t>
  </si>
  <si>
    <t>Inceptor / Hyperbase / Scope / Slipstream 等组件认知与验证</t>
  </si>
  <si>
    <t>P4–P5</t>
  </si>
  <si>
    <t>至少选择 2 个组件完成启动状态检查、连接访问或基础查询 / 任务验证；提交组件能力对照表、验证截图和场景说明。</t>
  </si>
  <si>
    <t>10–16</t>
  </si>
  <si>
    <t>P01.02.06</t>
  </si>
  <si>
    <t>TDH 组件验证与常见问题排查</t>
  </si>
  <si>
    <t>基于部署或运维过程处理至少 2 类常见问题，如服务异常、配置错误、资源不足、连接失败；提交问题现象、日志定位、处理步骤和恢复结果。</t>
  </si>
  <si>
    <t>12–20</t>
  </si>
  <si>
    <t>P01.02.07</t>
  </si>
  <si>
    <t>TDH 角色规划、磁盘规划、资源规划</t>
  </si>
  <si>
    <t>P01-M002、P01-M009</t>
  </si>
  <si>
    <t>基于给定服务器清单设计 TDH 角色规划、磁盘分区、资源分配和部署规划；提交规划表、架构图和设计理由。</t>
  </si>
  <si>
    <t>P01.02.08</t>
  </si>
  <si>
    <t>TDH 部署规范与最佳实践沉淀</t>
  </si>
  <si>
    <t>P7–P8</t>
  </si>
  <si>
    <t>P01-M002、P01-M011</t>
  </si>
  <si>
    <t>基于多次部署经验沉淀 TDH 部署规范、检查清单、巡检标准、常见问题库和培训材料。</t>
  </si>
  <si>
    <t>16–32</t>
  </si>
  <si>
    <t>P01.03</t>
  </si>
  <si>
    <t>TDC 多租户数据平台能力</t>
  </si>
  <si>
    <t>P01.03.01</t>
  </si>
  <si>
    <t>TDC 基础概念：租户、用户、Namespace、系统服务</t>
  </si>
  <si>
    <t>P01-M003</t>
  </si>
  <si>
    <t>在 TDC 环境中识别租户、用户、Namespace、系统服务、产品实例等对象；提交概念关系图、页面截图和对象说明。</t>
  </si>
  <si>
    <t>P01.03.02</t>
  </si>
  <si>
    <t>TDC 标准部署与基础验证</t>
  </si>
  <si>
    <t>在独立服务器或测试集群完成 TDC 标准部署和基础验证；提交部署记录、基础服务状态截图、验证清单和问题记录。</t>
  </si>
  <si>
    <t>P01.03.03</t>
  </si>
  <si>
    <t>租户创建、租户用户、权限基础配置</t>
  </si>
  <si>
    <t>P01-M003、P01-M010</t>
  </si>
  <si>
    <t>完成租户创建、用户加入、基础角色和权限配置，并验证租户内访问；提交配置截图、权限验证记录和操作说明。</t>
  </si>
  <si>
    <t>P01.03.04</t>
  </si>
  <si>
    <t>产品纳管与云产品实例配置</t>
  </si>
  <si>
    <t>完成至少一个产品纳管或实例配置验证，如 TDH / ArgoDB / TDS 纳管；提交纳管截图、实例状态截图和访问验证记录。</t>
  </si>
  <si>
    <t>8–16</t>
  </si>
  <si>
    <t>P01.03.05</t>
  </si>
  <si>
    <t>K8s / Container / Helm Chart 基础认知与排查</t>
  </si>
  <si>
    <t>查看 Namespace、Pod、Service、Container 等资源状态，完成一次基础问题定位或状态解释；提交命令输出、截图和排查说明。</t>
  </si>
  <si>
    <t>P01.03.06</t>
  </si>
  <si>
    <t>TDC Client 使用与租户内产品访问</t>
  </si>
  <si>
    <t>完成 TDC Client 初始化、环境变量配置和租户内产品访问验证；提交配置记录、连接截图和访问结果。</t>
  </si>
  <si>
    <t>P01.03.07</t>
  </si>
  <si>
    <t>资源隔离、共享租户、数据共享设计</t>
  </si>
  <si>
    <t>P01-M003、P01-M007、P01-M010</t>
  </si>
  <si>
    <t>基于总部 / 事业部或多部门场景设计租户资源隔离、共享租户和数据共享方案；提交方案图、权限矩阵和验证思路。</t>
  </si>
  <si>
    <t>P01.03.08</t>
  </si>
  <si>
    <t>应用上架、应用生命周期、平台治理</t>
  </si>
  <si>
    <t>P6–P7</t>
  </si>
  <si>
    <t>完成一个应用或组件上架、启动、访问和下线流程，或输出应用上架流程方案；提交 Demo 记录、生命周期说明和风险点。</t>
  </si>
  <si>
    <t>P01.03.09</t>
  </si>
  <si>
    <t>TDC 多租户平台方法论沉淀</t>
  </si>
  <si>
    <t>P01-M003、P01-M011</t>
  </si>
  <si>
    <t>沉淀 TDC 多租户平台建设方法论、租户规划模板、资源隔离最佳实践和标准交付清单。</t>
  </si>
  <si>
    <t>P01.04</t>
  </si>
  <si>
    <t>ArgoDB 使用与优化能力</t>
  </si>
  <si>
    <t>P01.04.01</t>
  </si>
  <si>
    <t>ArgoDB 安装、连接、基础架构认知</t>
  </si>
  <si>
    <t>P01-M004</t>
  </si>
  <si>
    <t>完成 ArgoDB 安装、客户端连接和基础架构识别；提交安装连接记录、服务状态截图和架构说明。</t>
  </si>
  <si>
    <t>P01.04.02</t>
  </si>
  <si>
    <t>建库、建表、基础 SQL 查询</t>
  </si>
  <si>
    <t>创建数据库、普通表并完成基础查询、聚合查询和简单关联查询；提交 SQL 脚本、执行截图和结果说明。</t>
  </si>
  <si>
    <t>P01.04.03</t>
  </si>
  <si>
    <t>分区、分桶、表数据组织</t>
  </si>
  <si>
    <t>创建分区表、分桶表并导入测试数据，验证分区 / 分桶查询效果；提交 DDL、SQL、执行截图和设计说明。</t>
  </si>
  <si>
    <t>P4 重点</t>
  </si>
  <si>
    <t>P01.04.04</t>
  </si>
  <si>
    <t>批量写入与数据导入</t>
  </si>
  <si>
    <t>完成批量数据写入或导入，并验证数据量、字段和值正确；提交导入脚本、校验 SQL 和结果截图。</t>
  </si>
  <si>
    <t>P01.04.05</t>
  </si>
  <si>
    <t>实时写入、更新、MERGE INTO</t>
  </si>
  <si>
    <t>完成实时写入、更新和 MERGE INTO 示例，并验证写入结果和变更结果；提交 SQL 脚本、执行记录和结果说明。</t>
  </si>
  <si>
    <t>P01.04.06</t>
  </si>
  <si>
    <t>基础 SQL 优化与执行问题排查</t>
  </si>
  <si>
    <t>选取一个低效 SQL，完成优化前后对比，或处理一次 SQL 执行异常；提交执行计划、耗时对比和排查记录。</t>
  </si>
  <si>
    <t>分 P4 基础优化、P5 常见问题</t>
  </si>
  <si>
    <t>P01.04.07</t>
  </si>
  <si>
    <t>表设计、数据模型设计与资源配置</t>
  </si>
  <si>
    <t>P01-M004、P01-M007</t>
  </si>
  <si>
    <t>针对一个分析场景设计表结构、分区分桶策略、数据组织和资源配置建议；提交设计文档、DDL 和验证 SQL。</t>
  </si>
  <si>
    <t>P01.04.08</t>
  </si>
  <si>
    <t>实时湖仓 / OLAP / 高并发场景设计</t>
  </si>
  <si>
    <t>P7</t>
  </si>
  <si>
    <t>P01-M004、P01-M007、P01-M009</t>
  </si>
  <si>
    <t>基于湖仓或高并发查询场景设计 ArgoDB 架构和性能验证方案；提交架构图、压测方案、验收指标和风险点。</t>
  </si>
  <si>
    <t>P01.04.09</t>
  </si>
  <si>
    <t>ArgoDB 最佳实践沉淀</t>
  </si>
  <si>
    <t>P01-M004、P01-M011</t>
  </si>
  <si>
    <t>沉淀 ArgoDB 建模规范、选型标准、性能基线、SQL 调优方法和复杂问题处理手册。</t>
  </si>
  <si>
    <t>P01.05</t>
  </si>
  <si>
    <t>TDS 数据开发能力</t>
  </si>
  <si>
    <t>P01.05.01</t>
  </si>
  <si>
    <t>TDS 数据开发套件认知</t>
  </si>
  <si>
    <t>P01-M005</t>
  </si>
  <si>
    <t>在 TDS 环境中识别 Workflow、Transporter、SQLBook、脱敏等开发能力入口；提交功能入口截图和开发套件能力清单。</t>
  </si>
  <si>
    <t>P01.05.02</t>
  </si>
  <si>
    <t>数据源配置与数据同步</t>
  </si>
  <si>
    <t>P01-M005、P01-M008</t>
  </si>
  <si>
    <t>配置源端与目标端数据源，完成一条数据同步任务并校验结果；提交配置截图、同步结果和数据校验 SQL。</t>
  </si>
  <si>
    <t>P01.05.03</t>
  </si>
  <si>
    <t>SQLBook 使用与 SQL 分析</t>
  </si>
  <si>
    <t>使用 SQLBook 完成至少 3 个查询分析场景，包括查询、聚合、结果查看；提交 SQL、执行结果截图和分析说明。</t>
  </si>
  <si>
    <t>P01.05.04</t>
  </si>
  <si>
    <t>Workflow 任务流与调度配置</t>
  </si>
  <si>
    <t>配置包含依赖关系的任务流和调度周期，完成运行验证；提交任务流截图、调度配置和运行结果。</t>
  </si>
  <si>
    <t>P01.05.05</t>
  </si>
  <si>
    <t>Transporter 数据传输任务</t>
  </si>
  <si>
    <t>完成一次 Transporter 数据传输任务，并验证源端 / 目标端数据一致；提交任务配置截图、校验 SQL 和验证结果。</t>
  </si>
  <si>
    <t>P01.05.06</t>
  </si>
  <si>
    <t>静态脱敏、策略脱敏、基础数据安全处理</t>
  </si>
  <si>
    <t>P01-M005、P01-M010</t>
  </si>
  <si>
    <t>配置静态脱敏或策略脱敏任务，并验证脱敏前后数据效果；提交配置截图、脱敏前后对比和说明。</t>
  </si>
  <si>
    <t>P01.05.07</t>
  </si>
  <si>
    <t>任务依赖、异常重跑、任务运维</t>
  </si>
  <si>
    <t>模拟或处理一次任务失败，完成定位、重跑和恢复；提交异常截图、处理步骤、重跑结果和复盘记录。</t>
  </si>
  <si>
    <t>P01.05.08</t>
  </si>
  <si>
    <t>数据开发流程与开发规范设计</t>
  </si>
  <si>
    <t>P01-M005、P01-M011</t>
  </si>
  <si>
    <t>基于数仓 / 湖仓项目设计数据开发流程、任务命名规范、依赖规范、异常处理规范和交付模板。</t>
  </si>
  <si>
    <t>P01.06</t>
  </si>
  <si>
    <t>TDS 数据治理能力</t>
  </si>
  <si>
    <t>P01.06.01</t>
  </si>
  <si>
    <t>用户、角色、工作区权限配置</t>
  </si>
  <si>
    <t>P01-M006、P01-M010</t>
  </si>
  <si>
    <t>完成用户、角色、工作区权限配置，并使用不同账号验证访问差异；提交权限配置截图和验证记录。</t>
  </si>
  <si>
    <t>P01.06.02</t>
  </si>
  <si>
    <t>数据连接、驱动配置、元数据采集</t>
  </si>
  <si>
    <t>P01-M006</t>
  </si>
  <si>
    <t>完成数据连接、驱动配置和元数据采集，验证指定库表被采集；提交连接截图、采集结果和问题记录。</t>
  </si>
  <si>
    <t>P01.06.03</t>
  </si>
  <si>
    <t>数据资源盘点与元数据版本管理</t>
  </si>
  <si>
    <t>对指定数据源完成资源盘点，并查看或维护元数据版本；提交资源盘点结果、版本截图和说明。</t>
  </si>
  <si>
    <t>P01.06.04</t>
  </si>
  <si>
    <t>元数据分析、特征分析、关联度分析</t>
  </si>
  <si>
    <t>对样例数据完成元数据分析、特征分析或关联度分析；提交分析截图、结果说明和发现的问题。</t>
  </si>
  <si>
    <t>P01.06.05</t>
  </si>
  <si>
    <t>血缘分析与血缘维护</t>
  </si>
  <si>
    <t>执行样例 SQL 或任务后生成表级 / 字段级血缘，并完成必要的血缘查看或维护；提交血缘截图和血缘说明。</t>
  </si>
  <si>
    <t>P01.06.06</t>
  </si>
  <si>
    <t>逻辑模型、物理模型设计与发布</t>
  </si>
  <si>
    <t>P5–P6</t>
  </si>
  <si>
    <t>P01-M006、P01-M007</t>
  </si>
  <si>
    <t>完成一个业务主题的逻辑模型、物理模型设计和发布，生成建表 DDL；提交模型截图、DDL 和设计说明。</t>
  </si>
  <si>
    <t>P01.06.07</t>
  </si>
  <si>
    <t>数据标准编制、发布、贯标、落标检查</t>
  </si>
  <si>
    <t>创建数据标准，完成发布、贯标和落标检查；提交标准样例、贯标截图和落标检查报告。</t>
  </si>
  <si>
    <t>P01.06.08</t>
  </si>
  <si>
    <t>数据质量规则、质量检查、质量报告</t>
  </si>
  <si>
    <t>配置至少 2 条质量规则并执行质量检查，输出质量报告；提交规则配置截图、检查结果和问题数据清单。</t>
  </si>
  <si>
    <t>P01.06.09</t>
  </si>
  <si>
    <t>数据质量监控与治理任务运维</t>
  </si>
  <si>
    <t>配置质量监控或治理任务运维，处理一次任务异常或告警；提交监控截图、运维记录和处理结果。</t>
  </si>
  <si>
    <t>P01.06.10</t>
  </si>
  <si>
    <t>数据治理工程化方案设计</t>
  </si>
  <si>
    <t>P01-M006、P01-M011</t>
  </si>
  <si>
    <t>基于客户或模拟场景设计数据治理工程化方案，覆盖元数据、标准、质量、血缘、分类分级和运营流程；提交方案文档和流程图。</t>
  </si>
  <si>
    <t>P01.07</t>
  </si>
  <si>
    <t>数仓 / 湖仓建模与数据流转能力</t>
  </si>
  <si>
    <t>P01.07.01</t>
  </si>
  <si>
    <t>数仓分层：ODS / DWD / DWS / ADS</t>
  </si>
  <si>
    <t>P01-M007</t>
  </si>
  <si>
    <t>在测试库创建 ODS、DWD、DWS、ADS 样例表，并说明各层职责；提交 DDL、表清单和分层说明。</t>
  </si>
  <si>
    <t>P01.07.02</t>
  </si>
  <si>
    <t>维度、事实、指标、主题域基础</t>
  </si>
  <si>
    <t>完成一个小型业务主题的维度表、事实表和 3–5 个指标口径设计；提交指标口径表、模型图和 DDL。</t>
  </si>
  <si>
    <t>P01.07.03</t>
  </si>
  <si>
    <t>数据接入、ETL、指标加工</t>
  </si>
  <si>
    <t>P01-M007、P01-M005</t>
  </si>
  <si>
    <t>完成从源表到 ADS 的最小 ETL 链路，实现 3–5 个指标加工；提交 ETL SQL、任务截图和结果校验。</t>
  </si>
  <si>
    <t>P01.07.04</t>
  </si>
  <si>
    <t>报表查询与数据应用支撑</t>
  </si>
  <si>
    <t>P01-M007、P01-M004</t>
  </si>
  <si>
    <t>基于 ADS 表完成报表查询或分析查询样例，验证指标结果；提交查询 SQL、结果截图和口径说明。</t>
  </si>
  <si>
    <t>P01.07.05</t>
  </si>
  <si>
    <t>T+0 / T+1 数据流转链路</t>
  </si>
  <si>
    <t>P01-M007、P01-M008</t>
  </si>
  <si>
    <t>分别设计或验证 T+0 与 T+1 数据流转链路，说明数据接入、加工、存储和查询过程；提交链路图和验证结果。</t>
  </si>
  <si>
    <t>P01.07.06</t>
  </si>
  <si>
    <t>湖仓一体、存算分离、批流融合认知</t>
  </si>
  <si>
    <t>基于 ArgoDB / TDH 场景输出湖仓一体、存算分离、批流融合说明，并完成一个最小入湖-加工-查询闭环验证。</t>
  </si>
  <si>
    <t>P01.07.07</t>
  </si>
  <si>
    <t>数据共享、权限隔离、治理集成</t>
  </si>
  <si>
    <t>P01-M007、P01-M010</t>
  </si>
  <si>
    <t>设计数仓 / 湖仓数据共享、权限隔离、治理集成方案；可在测试环境完成一个共享与权限验证 Demo。</t>
  </si>
  <si>
    <t>P01.07.08</t>
  </si>
  <si>
    <t>数仓 / 湖仓建模规范沉淀</t>
  </si>
  <si>
    <t>P01-M007、P01-M011</t>
  </si>
  <si>
    <t>总结项目或 Demo 经验，沉淀数仓分层规范、指标体系模板、建模评审清单和数据流转标准。</t>
  </si>
  <si>
    <t>P01.08</t>
  </si>
  <si>
    <t>数据集成与实时同步能力</t>
  </si>
  <si>
    <t>P01.08.01</t>
  </si>
  <si>
    <t>常见数据源接入：Oracle / MySQL / 文件 / API / Kafka</t>
  </si>
  <si>
    <t>P01-M008</t>
  </si>
  <si>
    <t>至少完成一种源端接入配置和连通性验证；提交数据源配置、连接验证截图和问题记录。</t>
  </si>
  <si>
    <t>6–12</t>
  </si>
  <si>
    <t>P01.08.02</t>
  </si>
  <si>
    <t>批量同步任务配置</t>
  </si>
  <si>
    <t>P01-M008、P01-M005</t>
  </si>
  <si>
    <t>完成一次全量 / 批量同步任务，并校验源端与目标端数据量和样例数据一致；提交配置截图、校验 SQL 和报告。</t>
  </si>
  <si>
    <t>P01.08.03</t>
  </si>
  <si>
    <t>增量同步 / CDC 配置</t>
  </si>
  <si>
    <t>完成增量同步或 CDC 配置，验证新增 / 修改 / 删除数据同步效果；提交 CDC 验证记录和一致性结果。</t>
  </si>
  <si>
    <t>P01.08.04</t>
  </si>
  <si>
    <t>DDL 变更同步验证</t>
  </si>
  <si>
    <t>验证新增字段、修改字段或表结构变化后的同步效果，说明限制和处理方式；提交 DDL 变更测试记录。</t>
  </si>
  <si>
    <t>P01.08.05</t>
  </si>
  <si>
    <t>数据一致性校验</t>
  </si>
  <si>
    <t>比对源端与目标端数据量、字段、样例数据和关键指标；提交一致性校验 SQL、差异数据清单和结论。</t>
  </si>
  <si>
    <t>P01.08.06</t>
  </si>
  <si>
    <t>同步延迟、字段映射、权限问题处理</t>
  </si>
  <si>
    <t>处理一次同步延迟、字段映射错误或源端权限问题；提交现象、定位过程、处理步骤和恢复结果。</t>
  </si>
  <si>
    <t>P01.08.07</t>
  </si>
  <si>
    <t>异常重跑、断点续传、容错补偿</t>
  </si>
  <si>
    <t>模拟同步中断或任务失败，完成重跑、断点续传或补偿处理；提交恢复记录和容错方案。</t>
  </si>
  <si>
    <t>12–24</t>
  </si>
  <si>
    <t>P01.08.08</t>
  </si>
  <si>
    <t>多源异构实时同步架构设计</t>
  </si>
  <si>
    <t>P01-M008、P01-M001</t>
  </si>
  <si>
    <t>基于多个源端设计实时同步架构，覆盖链路监控、容错补偿、性能和验收标准；提交架构图和验证方案。</t>
  </si>
  <si>
    <t>P01.08.09</t>
  </si>
  <si>
    <t>数据集成标准与模板沉淀</t>
  </si>
  <si>
    <t>P01-M008、P01-M011</t>
  </si>
  <si>
    <t>沉淀数据集成模板、实时同步验证方法、常见问题知识库和交付规范。</t>
  </si>
  <si>
    <t>P01.09</t>
  </si>
  <si>
    <t>资源规划、性能优化与稳定性基础能力</t>
  </si>
  <si>
    <t>P01.09.01</t>
  </si>
  <si>
    <t>服务器、OS、磁盘、网络、端口环境检查</t>
  </si>
  <si>
    <t>P01-M002、P01-M003、P01-M009</t>
  </si>
  <si>
    <t>在独立服务器完成环境检查，包括 OS、CPU、内存、磁盘、网络、端口、时间同步；提交环境检查表和整改记录。</t>
  </si>
  <si>
    <t>P01.09.02</t>
  </si>
  <si>
    <t>基础容量确认与资源使用分析</t>
  </si>
  <si>
    <t>P01-M009</t>
  </si>
  <si>
    <t>基于数据量、节点数和组件要求完成基础容量确认，查看 CPU、内存、磁盘、网络使用情况；提交容量估算表和资源截图。</t>
  </si>
  <si>
    <t>P01.09.03</t>
  </si>
  <si>
    <t>服务巡检、日志查看、基础告警处理</t>
  </si>
  <si>
    <t>完成一次服务巡检、日志查看和基础告警处理；提交巡检报告、日志定位记录和告警处理结果。</t>
  </si>
  <si>
    <t>P01.09.04</t>
  </si>
  <si>
    <t>部署后可用性验证与基础性能验证</t>
  </si>
  <si>
    <t>完成服务可用性验证和基础性能验证，如查询、写入、任务运行、组件访问；提交验证清单和结果截图。</t>
  </si>
  <si>
    <t>P01.09.05</t>
  </si>
  <si>
    <t>SQL / 任务 / 服务级基础调优</t>
  </si>
  <si>
    <t>P01-M004、P01-M005、P01-M009</t>
  </si>
  <si>
    <t>完成一次 SQL、任务或服务参数调优，对比调优前后指标；提交调优记录、截图和结论。</t>
  </si>
  <si>
    <t>P01.09.06</t>
  </si>
  <si>
    <t>弹性伸缩、扩缩容、高可用验证</t>
  </si>
  <si>
    <t>P01-M003、P01-M009</t>
  </si>
  <si>
    <t>在测试环境完成扩缩容、弹性伸缩或高可用切换验证；提交验证方案、执行记录和结果判断。</t>
  </si>
  <si>
    <t>20–32</t>
  </si>
  <si>
    <t>P01.09.07</t>
  </si>
  <si>
    <t>性能测试、压测、验收标准设计</t>
  </si>
  <si>
    <t>设计并执行性能测试或压测，明确测试数据、指标、步骤和验收标准；提交压测报告和优化建议。</t>
  </si>
  <si>
    <t>P01.09.08</t>
  </si>
  <si>
    <t>稳定性治理与重大问题复盘</t>
  </si>
  <si>
    <t>P01-M009、P01-M011</t>
  </si>
  <si>
    <t>基于项目或演练沉淀稳定性治理规范、巡检体系、故障复盘模板和重大问题处理机制。</t>
  </si>
  <si>
    <t>P01.10</t>
  </si>
  <si>
    <t>数据安全、权限与合规能力</t>
  </si>
  <si>
    <t>P01.10.01</t>
  </si>
  <si>
    <t>账号、角色、用户、工作区权限</t>
  </si>
  <si>
    <t>创建用户、角色和工作区权限，并使用不同账号验证访问差异；提交权限配置截图和验证结果。</t>
  </si>
  <si>
    <t>P01.10.02</t>
  </si>
  <si>
    <t>租户隔离、资源隔离、数据隔离</t>
  </si>
  <si>
    <t>在 TDC 或相关平台配置租户 / 资源 / 数据隔离，并验证跨租户访问限制；提交隔离配置说明和验证记录。</t>
  </si>
  <si>
    <t>P01.10.03</t>
  </si>
  <si>
    <t>库表权限、行列权限、访问控制</t>
  </si>
  <si>
    <t>配置库表权限或行列权限，并验证不同用户访问结果；提交权限矩阵、配置截图和访问验证截图。</t>
  </si>
  <si>
    <t>P01.10.04</t>
  </si>
  <si>
    <t>分类分级配置</t>
  </si>
  <si>
    <t>对样例表完成分类分级配置，验证敏感字段识别结果；提交规则配置、分类结果截图和说明。</t>
  </si>
  <si>
    <t>P01.10.05</t>
  </si>
  <si>
    <t>脱敏策略、静态脱敏、手动脱敏</t>
  </si>
  <si>
    <t>配置脱敏策略、静态脱敏或手动脱敏任务，验证脱敏前后数据效果；提交配置截图和对比结果。</t>
  </si>
  <si>
    <t>P01.10.06</t>
  </si>
  <si>
    <t>共享审批、数据申请、数据下发</t>
  </si>
  <si>
    <t>模拟数据申请、审批、授权和访问流程，或设计数据共享审批流程；提交流程图、审批记录和访问验证。</t>
  </si>
  <si>
    <t>P01.10.07</t>
  </si>
  <si>
    <t>审计、合规检查、安全风险识别</t>
  </si>
  <si>
    <t>P01-M010、P01-M001</t>
  </si>
  <si>
    <t>完成一次安全检查或访问审计，识别权限、脱敏、隔离或共享风险；提交风险清单、整改建议和检查报告。</t>
  </si>
  <si>
    <t>P01.10.08</t>
  </si>
  <si>
    <t>数据安全治理规范沉淀</t>
  </si>
  <si>
    <t>P01-M010、P01-M011</t>
  </si>
  <si>
    <t>沉淀权限模型模板、合规检查清单、安全评审机制和数据安全治理最佳实践。</t>
  </si>
  <si>
    <t>P02</t>
  </si>
  <si>
    <t>AI Infra / Agent 能力</t>
  </si>
  <si>
    <t>P02.01</t>
  </si>
  <si>
    <t>AI Infra / Agent 技术体系与产品认知</t>
  </si>
  <si>
    <t>P02.01.01</t>
  </si>
  <si>
    <t>主流 AI Infra 技术体系认知</t>
  </si>
  <si>
    <t>P02-M001、P02-M008</t>
  </si>
  <si>
    <t>输出 AI Infra / Agent 技术体系图，覆盖算力、模型服务、语料、知识库、RAG、Agent、MCP / Tool、AI Coding、LLMOps / MLOps、多模态 / AIGC、生产力工具等核心概念，并说明各模块之间关系。</t>
  </si>
  <si>
    <t>删除原“企业级 AI 落地挑战认知”，相关背景可放培训导入。</t>
  </si>
  <si>
    <t>P02.01.02</t>
  </si>
  <si>
    <t>公司 AI 产品体系认知</t>
  </si>
  <si>
    <t>P02-M001、P02-M007</t>
  </si>
  <si>
    <t>输出 LLMOps、问数产品定位、能力边界、典型场景和产品关系说明；能说明 LLMOps 作为 AI 能力底座、问数作为智能分析应用产品的关系。</t>
  </si>
  <si>
    <t>P02.01.03</t>
  </si>
  <si>
    <t>LLMOps 产品模块认知</t>
  </si>
  <si>
    <t>P02-M001、P02-M003</t>
  </si>
  <si>
    <t>输出 LLMOps 模块脑图，覆盖算力、模型、代码开发、语料、知识、RAG、Agent / 应用链、应用发布、空间、权限、API-KEY、审计等模块。</t>
  </si>
  <si>
    <t>P02.01.04</t>
  </si>
  <si>
    <t>问数产品模块与架构认知</t>
  </si>
  <si>
    <t>P02-M004、P02-M007</t>
  </si>
  <si>
    <t>输出问数功能与系统架构图，说明数据准备、语义建模、智能问数、指标问答、知识问答、看板、洞察报告、BaopsAgent、SolarAgent、NL2SQL、NL2INDEX、工具市场等模块关系。</t>
  </si>
  <si>
    <t>合并原问数产品架构认知。</t>
  </si>
  <si>
    <t>P02.01.05</t>
  </si>
  <si>
    <t>AI 产品与客户场景匹配</t>
  </si>
  <si>
    <t>P02-M001、P02-M005、P02-M007</t>
  </si>
  <si>
    <t>选择 2–3 个典型客户场景，输出“场景-产品-能力-验证方式”映射表，说明使用 LLMOps、问数或通用 Agent / 多模态能力的适配理由。</t>
  </si>
  <si>
    <t>P02.01.06</t>
  </si>
  <si>
    <t>AI Infra / Agent 建设路径</t>
  </si>
  <si>
    <t>输出一个企业 AI 能力建设路径草案，包括平台底座、数据 / 知识准备、模型服务、应用场景、验证指标、实施阶段和风险控制点。</t>
  </si>
  <si>
    <t>12–16</t>
  </si>
  <si>
    <t>P02.02</t>
  </si>
  <si>
    <t>LLMOps 平台部署、运维与应用开发能力</t>
  </si>
  <si>
    <t>P02.02.01</t>
  </si>
  <si>
    <t>LLMOps 平台部署</t>
  </si>
  <si>
    <t>P02-M002</t>
  </si>
  <si>
    <t>完成或参与 LLMOps + TDC 标准环境部署，覆盖 CPU、内存、磁盘、GPU、网卡、OS、驱动、CUDA、containerd、registry、NFS / JuiceFS、HIPPO、license、认证激活和装后测试；提交部署记录、关键配置截图、服务访问截图、环境检查表和问题记录。</t>
  </si>
  <si>
    <t>32–56</t>
  </si>
  <si>
    <t>合并原部署环境检查、标准部署认知、标准部署 / 协助部署。</t>
  </si>
  <si>
    <t>P02.02.02</t>
  </si>
  <si>
    <t>LLMOps 基础运维与问题排查</t>
  </si>
  <si>
    <t>P02-M002、P02-M003</t>
  </si>
  <si>
    <t>在测试环境完成 pod、PVC / PV、HIPPO、Prometheus、CAS、镜像拉取、服务状态、日志等基础检查；提交一次部署或运行问题定位记录，包括现象、定位过程、处理动作和恢复结果。</t>
  </si>
  <si>
    <t>P02.02.03</t>
  </si>
  <si>
    <t>算力资源管理与异构 GPU 调度</t>
  </si>
  <si>
    <t>完成算力资源查看、资源配额、GPU 分组 / 规格查看或配置验证；说明 NVIDIA、昇腾、海光、寒武纪等异构算力接入、共享、切分、调度策略；提交资源配置截图和说明。</t>
  </si>
  <si>
    <t>P02.02.04</t>
  </si>
  <si>
    <t>模型管理与模型服务接入</t>
  </si>
  <si>
    <t>完成模型查看、模型体验、模型调用参数配置；至少完成一个模型服务注册或远程模型服务接入验证，提交配置截图、调用结果、参数说明和问题记录。</t>
  </si>
  <si>
    <t>P02.02.05</t>
  </si>
  <si>
    <t>代码开发环境与任务运行</t>
  </si>
  <si>
    <t>在 LLMOps 代码开发环境中完成 Notebook / 脚本 / 任务运行验证，提交代码、运行截图、输入输出结果和异常处理记录。</t>
  </si>
  <si>
    <t>P02.02.06</t>
  </si>
  <si>
    <t>语料处理与知识库构建</t>
  </si>
  <si>
    <t>P02-M003</t>
  </si>
  <si>
    <t>上传样例文档 / 表格 / FAQ，完成语料编目、清洗、切分、入库和知识库构建，进行基础检索验证；提交知识库配置、命中片段、检索结果和问题记录。</t>
  </si>
  <si>
    <t>P02.02.07</t>
  </si>
  <si>
    <t>RAG 应用构建与效果验证</t>
  </si>
  <si>
    <t>基于样例知识库创建 RAG 问答应用，完成 5–10 个问题验证，记录回答、引用片段、召回情况和失败案例；提交问题集、验证结果和优化建议。</t>
  </si>
  <si>
    <t>P02.02.08</t>
  </si>
  <si>
    <t>Agent / 应用链开发与发布</t>
  </si>
  <si>
    <t>创建一个简单 Agent 或应用链，配置模型、Prompt、知识库、工具调用或流程节点，完成端到端运行、发布和访问验证；提交应用入口、流程截图、运行结果和异常记录。</t>
  </si>
  <si>
    <t>P02.02.09</t>
  </si>
  <si>
    <t>LLMOps 应用优化与最佳实践沉淀</t>
  </si>
  <si>
    <t>P6–P8</t>
  </si>
  <si>
    <t>P02-M001、P02-M002、P02-M003</t>
  </si>
  <si>
    <t>针对 RAG / Agent / 应用链失败案例，完成召回、Prompt、知识库或模型参数优化，提交优化前后对比；高阶需沉淀部署检查清单、应用开发模板、知识库构建规范、RAG / Agent 验收模板。</t>
  </si>
  <si>
    <t>P6 以优化为主，P7/P8 以规范沉淀为主。</t>
  </si>
  <si>
    <t>P02.03</t>
  </si>
  <si>
    <t>问数产品部署、配置与智能分析能力</t>
  </si>
  <si>
    <t>P02.03.01</t>
  </si>
  <si>
    <t>问数平台部署</t>
  </si>
  <si>
    <t>P02-M006</t>
  </si>
  <si>
    <t>完成或参与问数标准环境部署，覆盖 TDH / TDS 依赖、TDS 侧服务、Solar 服务、向量模型、大模型服务接入、端口、权限认证和基础服务状态验证；提交部署记录、服务状态截图、访问入口和基础连通性验证结果。</t>
  </si>
  <si>
    <t>合并部署环境与依赖认知、标准部署 / 协助部署。</t>
  </si>
  <si>
    <t>P02.03.02</t>
  </si>
  <si>
    <t>问数数据准备与语义建模能力</t>
  </si>
  <si>
    <t>基于样例数据完成数据源接入、元数据采集、主体模型、字段语义、枚举值、指标 / 标签、同义词、权限范围等配置；提交配置截图、语义建模说明和连通性验证。</t>
  </si>
  <si>
    <t>16–28</t>
  </si>
  <si>
    <t>P02.03.03</t>
  </si>
  <si>
    <t>智能问答能力建设能力</t>
  </si>
  <si>
    <t>P02-M004、P02-M005、P02-M007</t>
  </si>
  <si>
    <t>构造一组业务问题集，完成自然语言查询、NL2SQL、NL2INDEX、知识问答、指标问答、多轮澄清、问答纠错和提示词策略验证；提交问题集、生成 SQL 或指标结果、回答准确性验证和失败案例。</t>
  </si>
  <si>
    <t>P02.03.04</t>
  </si>
  <si>
    <t>智能分析与洞察交付能力</t>
  </si>
  <si>
    <t>基于一个业务主题完成从自然语言提问到图表 / 看板 / 数据下钻 / 洞察报告的 Demo，提交演示记录、截图、结果解释和人工校验说明。</t>
  </si>
  <si>
    <t>P02.03.05</t>
  </si>
  <si>
    <t>问数场景验证与优化能力</t>
  </si>
  <si>
    <t>P02-M005、P02-M004、P02-M006</t>
  </si>
  <si>
    <t>输出完整问数 POC 验证报告，包括测试目标、问题集、测试步骤、预期结果、实际结果、查询范围 / 权限 / 模型服务 / 结果一致性验证、问题清单和优化建议。</t>
  </si>
  <si>
    <t>P02.04</t>
  </si>
  <si>
    <t>Prompt / Context Engineering 与 AI Coding 方法能力</t>
  </si>
  <si>
    <t>P02.04.01</t>
  </si>
  <si>
    <t>Prompt 基础结构设计</t>
  </si>
  <si>
    <t>P02-M008</t>
  </si>
  <si>
    <t>使用角色、任务、上下文、约束、示例、输出格式、结构化输出等方法设计 Prompt，完成至少 3 类任务验证，提交 Prompt、输入、输出结果和修订记录。</t>
  </si>
  <si>
    <t>结构化输出不再单列，合并到本项。</t>
  </si>
  <si>
    <t>P02.04.02</t>
  </si>
  <si>
    <t>Context Engineering 方法</t>
  </si>
  <si>
    <t>围绕一个复杂任务完成资料选择、上下文组织、代码库 / 文档上下文注入、示例管理、输入结构设计、上下文压缩和约束控制；提交上下文组织方案、Prompt 和结果对比。</t>
  </si>
  <si>
    <t>P02.04.03</t>
  </si>
  <si>
    <t>主流 AI Coding 工具认知与试用</t>
  </si>
  <si>
    <t>理解并试用 Copilot 类、Cursor 类、Claude Code 类、代码 Agent、Repo-aware 工具等至少 2 类工具，完成同一小任务对比，提交工具适用边界、优缺点和试用结果。</t>
  </si>
  <si>
    <t>P02.04.04</t>
  </si>
  <si>
    <t>AI Coding 基础实践</t>
  </si>
  <si>
    <t>使用 AI 辅助生成或优化 SQL、Shell、Python、Java、Go、测试用例、配置文件等至少 2 类产物，并在测试环境运行验证；提交代码 / 脚本、执行结果和问题修正记录。</t>
  </si>
  <si>
    <t>P02.04.05</t>
  </si>
  <si>
    <t>SDD / Spec-driven AI Coding</t>
  </si>
  <si>
    <t>先输出需求规格、接口、数据结构、边界条件、约束和验收标准，再使用 AI 辅助生成或修改代码；提交规格文档、AI 生成结果、运行结果和修订记录。</t>
  </si>
  <si>
    <t>P02.04.06</t>
  </si>
  <si>
    <t>TDD / BDD / Eval-driven AI Coding</t>
  </si>
  <si>
    <t>先定义测试用例、行为场景或评测用例，再使用 AI 编码、调试和优化；提交测试 / 行为 / 评测用例、代码、运行结果和失败修复记录。</t>
  </si>
  <si>
    <t>P02.04.07</t>
  </si>
  <si>
    <t>Agentic Coding 与代码库级任务实践</t>
  </si>
  <si>
    <t>使用代码 Agent 理解仓库、修改多文件、运行测试、修复报错，完成一个代码库级小任务；提交任务说明、变更文件清单、测试结果和回滚 / 风险说明。</t>
  </si>
  <si>
    <t>P02.04.08</t>
  </si>
  <si>
    <t>AI Code Review、调试、重构与质量治理</t>
  </si>
  <si>
    <t>P5–P8</t>
  </si>
  <si>
    <t>对一段 AI 生成的 SQL / Python / Java / Go / Shell / 配置代码进行评审，覆盖规格一致性、正确性、可测试性、可维护性、安全性、性能、可观测性和工程规范；提交 Code Review 清单、问题列表、修改建议、重构前后对比、测试结果和最终可运行版本。</t>
  </si>
  <si>
    <t>P6 以上应沉淀评审清单、测试策略、质量门禁和团队规范。</t>
  </si>
  <si>
    <t>P02.05</t>
  </si>
  <si>
    <t>多模态与 AIGC 基础能力</t>
  </si>
  <si>
    <t>P02.05.01</t>
  </si>
  <si>
    <t>多模态与 AIGC 技术体系认知</t>
  </si>
  <si>
    <t>输出多模态能力图谱，说明文本、图像、文档、表格、图表、音频、视频之间的输入 / 输出关系、典型工具、适用场景和主要限制。</t>
  </si>
  <si>
    <t>P02.05.02</t>
  </si>
  <si>
    <t>图像理解、生成与编辑能力</t>
  </si>
  <si>
    <t>围绕截图理解、OCR、流程图解析、图片问答、生图、图片编辑、风格控制、方案配图完成一组 Demo；提交输入图片 / Prompt、生成或识别结果、人工校验和修订记录。</t>
  </si>
  <si>
    <t>合并图像理解与图像生成。</t>
  </si>
  <si>
    <t>P02.05.03</t>
  </si>
  <si>
    <t>文档、表格与图表理解生成能力</t>
  </si>
  <si>
    <t>对 PDF / Word / Excel / 图表 / 截图表格进行识别、提取、结构化、摘要、重排或内容生成；提交原始材料、结构化结果、校验记录和可交付版本。</t>
  </si>
  <si>
    <t>P02.05.04</t>
  </si>
  <si>
    <t>音频理解与生成能力</t>
  </si>
  <si>
    <t>完成语音转文字、会议录音摘要、说话人区分、语音内容摘要、语音问答或文本转语音、培训音频生成等任务；提交音频样例、转写 / 生成结果和人工校验。</t>
  </si>
  <si>
    <t>不涉及仿冒身份类声音克隆。</t>
  </si>
  <si>
    <t>P02.05.05</t>
  </si>
  <si>
    <t>视频理解与生成辅助能力</t>
  </si>
  <si>
    <t>完成视频摘要、关键帧提取、操作视频分析、培训视频结构化、视频脚本 / 分镜 / 剪辑辅助等任务；提交视频样例、结构化结果、脚本 / 分镜和校验记录。</t>
  </si>
  <si>
    <t>P02.05.06</t>
  </si>
  <si>
    <t>多模态质量与风险控制能力</t>
  </si>
  <si>
    <t>对图像、文档、音频、视频等 AIGC 输出进行事实性、版权、敏感信息、客户适用性、风格一致性、图文一致性和可交付性检查；提交风险清单、修订建议和最终版本。</t>
  </si>
  <si>
    <t>P02.06</t>
  </si>
  <si>
    <t>AI 生产力与 Agent 应用能力</t>
  </si>
  <si>
    <t>P02.06.01</t>
  </si>
  <si>
    <t>AI 生产力工具体系认知</t>
  </si>
  <si>
    <t>输出 AI 生产力工具地图，覆盖办公 AI、浏览器 Agent、知识助手、任务执行 Agent、OpenClaw、Hermes Agent 等工具类型、适用场景和边界。</t>
  </si>
  <si>
    <t>P02.06.02</t>
  </si>
  <si>
    <t>文档 / 方案 / 汇报类 AI 辅助</t>
  </si>
  <si>
    <t>使用 AI 完成会议纪要、操作手册、测试报告、方案初稿、培训材料、PPT 大纲或汇报材料生成与人工修订；提交原始输入、Prompt、生成结果和人工修订记录。</t>
  </si>
  <si>
    <t>由原 4.4 迁移至本能力域。</t>
  </si>
  <si>
    <t>P02.06.03</t>
  </si>
  <si>
    <t>知识检索与资料归纳能力</t>
  </si>
  <si>
    <t>A8</t>
  </si>
  <si>
    <t>基于文档、网页、项目材料完成检索、摘要、对比、结论归纳，并保留来源依据；提交资料清单、检索过程、归纳结果和人工校验。</t>
  </si>
  <si>
    <t>P02.06.04</t>
  </si>
  <si>
    <t>通用 Agent 基础实操能力</t>
  </si>
  <si>
    <t>使用 Hermes Agent、OpenClaw 或类似工具完成资料整理、网页收集、方案生成、任务执行等标准任务；提交任务输入、执行过程截图、输出结果和人工校验。</t>
  </si>
  <si>
    <t>P02.06.05</t>
  </si>
  <si>
    <t>工具调用、MCP / API 与浏览器自动化能力</t>
  </si>
  <si>
    <t>使用 Agent 调用浏览器、文件、表格、API、MCP 工具完成跨系统任务；提交流程图、工具调用记录、输入输出样例和结果校验。</t>
  </si>
  <si>
    <t>属于行动层 / 编排层能力，不归入多模态基础能力。</t>
  </si>
  <si>
    <t>P02.06.06</t>
  </si>
  <si>
    <t>项目交付流程自动化能力</t>
  </si>
  <si>
    <t>设计并验证一个面向售前方案、部署排障、POC 材料、运维报告或客户汇报的 AI / Agent 工作流，提交流程图、输入输出样例、执行记录和改进点。</t>
  </si>
  <si>
    <t>P02.06.07</t>
  </si>
  <si>
    <t>Agent 场景模板沉淀能力</t>
  </si>
  <si>
    <t>沉淀 3–5 个团队可复用 Agent 场景模板，例如售前方案生成、部署排障助手、数据治理顾问、问数配置助手、材料整理助手；提交模板、使用说明和验证结果。</t>
  </si>
  <si>
    <t>P03</t>
  </si>
  <si>
    <t>Coding 能力</t>
  </si>
  <si>
    <t>P03.01</t>
  </si>
  <si>
    <t>Coding 技术体系与语言基础</t>
  </si>
  <si>
    <t>P03.01.01</t>
  </si>
  <si>
    <t>Coding 技术体系与常用语言认知</t>
  </si>
  <si>
    <t>P03-M007, P03-M015, P03-M016, P03-M017</t>
  </si>
  <si>
    <t>输出 SQL / Python / Java / Go / Shell 等常用语言和典型场景对照表；能说明各语言在数据平台、AI 平台、自动化脚本、后端服务中的适用边界。</t>
  </si>
  <si>
    <t>4–8h</t>
  </si>
  <si>
    <t>P03.01.02</t>
  </si>
  <si>
    <t>开发环境、包管理与依赖管理基础</t>
  </si>
  <si>
    <t>P03-M007, P03-M020</t>
  </si>
  <si>
    <t>在个人开发环境完成 Python / Java / Go 至少一种语言的开发环境搭建、依赖安装、运行验证；提交环境说明、依赖文件和运行截图。</t>
  </si>
  <si>
    <t>6–10h</t>
  </si>
  <si>
    <t>P03.01.03</t>
  </si>
  <si>
    <t>正则表达式与文本处理基础</t>
  </si>
  <si>
    <t>P03-M008, P03-M026</t>
  </si>
  <si>
    <t>使用正则完成日志、配置文件、SQL 文本或字段内容的匹配、提取、替换和校验；提交正则表达式、样例输入、匹配结果和说明。</t>
  </si>
  <si>
    <t>P03.01.04</t>
  </si>
  <si>
    <t>数据结构与基础算法能力</t>
  </si>
  <si>
    <t>P03-M007</t>
  </si>
  <si>
    <t>使用列表、字典、集合、队列、栈、树形结构等完成一个数据处理小任务；提交代码、输入输出样例和复杂度说明。</t>
  </si>
  <si>
    <t>8–16h</t>
  </si>
  <si>
    <t>P03.01.05</t>
  </si>
  <si>
    <t>文件、配置、日志读写处理</t>
  </si>
  <si>
    <t>P03-M007, P03-M009, P03-M014</t>
  </si>
  <si>
    <t>完成文本、CSV、JSON、YAML/配置文件、日志文件的读取、解析、转换和输出；提交脚本、输入样例、输出结果和异常处理说明。</t>
  </si>
  <si>
    <t>8–12h</t>
  </si>
  <si>
    <t>P03.01.06</t>
  </si>
  <si>
    <t>错误处理、异常机制与日志规范</t>
  </si>
  <si>
    <t>P03-M009, P03-M014</t>
  </si>
  <si>
    <t>实现一个带异常处理、日志输出、错误码或错误提示的脚本 / 服务 Demo；提交代码、运行结果、异常场景验证记录。</t>
  </si>
  <si>
    <t>P03.02</t>
  </si>
  <si>
    <t>SQL 开发与数据处理能力</t>
  </si>
  <si>
    <t>P03.02.01</t>
  </si>
  <si>
    <t>SQL 基础语法与在线分阶段练习</t>
  </si>
  <si>
    <t>P03-M001, P03-M002, P03-M004, P03-M005</t>
  </si>
  <si>
    <t>完成 SQL 入门题集，覆盖 SELECT、WHERE、ORDER BY、LIMIT、JOIN、GROUP BY、HAVING、子查询等；提交题解清单、关键 SQL 和通过截图。</t>
  </si>
  <si>
    <t>12–20h</t>
  </si>
  <si>
    <t>P03.02.02</t>
  </si>
  <si>
    <t>JOIN、聚合、子查询与窗口函数</t>
  </si>
  <si>
    <t>P03-M002, P03-M003, P03-M005</t>
  </si>
  <si>
    <t>完成不少于 20 道中阶 SQL 题，覆盖多表 JOIN、聚合、子查询、窗口函数；提交题解、结果截图和易错点总结。</t>
  </si>
  <si>
    <t>16–24h</t>
  </si>
  <si>
    <t>P03.02.03</t>
  </si>
  <si>
    <t>数据清洗、转换与批量处理 SQL</t>
  </si>
  <si>
    <t>P03-M004, P03-M005</t>
  </si>
  <si>
    <t>基于样例表完成字段清洗、类型转换、去重、缺失值处理、派生字段计算；提交 SQL 脚本、源表 / 目标表对比和校验结果。</t>
  </si>
  <si>
    <t>P03.02.04</t>
  </si>
  <si>
    <t>复杂业务指标 SQL 与分析查询</t>
  </si>
  <si>
    <t>P03-M003, P03-M004</t>
  </si>
  <si>
    <t>选择一个业务主题，实现 3–5 个指标加工 SQL，包含口径说明、维度筛选和结果校验；提交指标 SQL、口径表和验证截图。</t>
  </si>
  <si>
    <t>P03.02.05</t>
  </si>
  <si>
    <t>SQL 性能分析与优化</t>
  </si>
  <si>
    <t>P03-M006</t>
  </si>
  <si>
    <t>对一个慢 SQL 进行 EXPLAIN / 执行计划分析，完成索引、过滤条件、JOIN 顺序、分区裁剪或聚合优化；提交优化前后耗时、执行计划和结论。</t>
  </si>
  <si>
    <t>16–32h</t>
  </si>
  <si>
    <t>P03.02.06</t>
  </si>
  <si>
    <t>SQL 质量、可读性与题解沉淀</t>
  </si>
  <si>
    <t>P03-M001, P03-M002, P03-M003</t>
  </si>
  <si>
    <t>整理 SQL 命名、缩进、注释、CTE 使用、临时表使用、结果校验等规范；沉淀一份 SQL 题解和规范样例。</t>
  </si>
  <si>
    <t>P03.02.07</t>
  </si>
  <si>
    <t>数仓 / 湖仓场景 SQL 实践</t>
  </si>
  <si>
    <t>P03-M003, P03-M006</t>
  </si>
  <si>
    <t>完成一条 ODS→DWD→DWS/ADS 的 SQL 加工链路，含调度依赖、数据校验和结果查询；提交 SQL、任务说明和验证报告。</t>
  </si>
  <si>
    <t>P03.03</t>
  </si>
  <si>
    <t>Python 脚本、自动化与数据工程开发能力</t>
  </si>
  <si>
    <t>P03.03.01</t>
  </si>
  <si>
    <t>Python 基础语法与运行环境</t>
  </si>
  <si>
    <t>完成 Python 环境搭建、虚拟环境、依赖安装、基础语法练习；提交运行截图、requirements 文件和基础练习代码。</t>
  </si>
  <si>
    <t>P03.03.02</t>
  </si>
  <si>
    <t>文件 / CSV / JSON / 配置处理</t>
  </si>
  <si>
    <t>P03-M007, P03-M009</t>
  </si>
  <si>
    <t>使用 Python 完成 CSV / JSON / 配置文件读取、转换和输出；提交脚本、样例数据、结果文件和异常处理说明。</t>
  </si>
  <si>
    <t>P03.03.03</t>
  </si>
  <si>
    <t>Python 文本解析、正则与日志统计</t>
  </si>
  <si>
    <t>P03-M008, P03-M009, P03-M026</t>
  </si>
  <si>
    <t>使用 Python + 正则完成日志解析、字段抽取、错误统计或配置校验；提交脚本、输入样例、输出结果和运行截图。</t>
  </si>
  <si>
    <t>P03.03.04</t>
  </si>
  <si>
    <t>数据处理脚本开发</t>
  </si>
  <si>
    <t>完成一段数据清洗、字段转换、数据校验、结果输出脚本；提交代码、样例输入输出和校验说明。</t>
  </si>
  <si>
    <t>P03.03.05</t>
  </si>
  <si>
    <t>自动化任务与命令行脚本</t>
  </si>
  <si>
    <t>P03-M007, P03-M014</t>
  </si>
  <si>
    <t>开发一个可通过命令行参数运行的自动化脚本，支持日志输出、异常处理和配置文件；提交脚本、运行说明和结果截图。</t>
  </si>
  <si>
    <t>P03.03.06</t>
  </si>
  <si>
    <t>Python 并发与异步任务处理</t>
  </si>
  <si>
    <t>P03-M010, P03-M011, P03-M012</t>
  </si>
  <si>
    <t>使用多线程、多进程或 asyncio 完成批量文件处理、接口并发调用或数据同步提速 Demo；提交代码、耗时对比和适用场景说明。</t>
  </si>
  <si>
    <t>P03.03.07</t>
  </si>
  <si>
    <t>Python 包结构、配置、日志与依赖管理</t>
  </si>
  <si>
    <t>将脚本整理为可维护项目结构，包含配置文件、日志、依赖声明、入口脚本和 README；提交代码目录和运行说明。</t>
  </si>
  <si>
    <t>P03.03.08</t>
  </si>
  <si>
    <t>数据工程 / 运维工具脚本开发</t>
  </si>
  <si>
    <t>开发一个面向部署检查、日志分析、数据校验、任务巡检或报告生成的工具脚本；提交代码、样例结果和适用场景。</t>
  </si>
  <si>
    <t>P03.03.09</t>
  </si>
  <si>
    <t>Python 脚本规范与复用沉淀</t>
  </si>
  <si>
    <t>P03-M007, P03-M009, P03-M020</t>
  </si>
  <si>
    <t>沉淀 Python 脚本开发规范、目录模板、日志模板、异常处理模板和复用示例；提交规范文档和模板代码。</t>
  </si>
  <si>
    <t>P03.04</t>
  </si>
  <si>
    <t>Java / Go 后端服务开发能力</t>
  </si>
  <si>
    <t>P03.04.01</t>
  </si>
  <si>
    <t>Java / Go 语言基础与开发环境</t>
  </si>
  <si>
    <t>P03-M016, P03-M017, P03-M019</t>
  </si>
  <si>
    <t>完成 Java 或 Go 开发环境搭建、基础语法、项目创建和运行；提交环境说明、代码和运行截图。</t>
  </si>
  <si>
    <t>P03.04.02</t>
  </si>
  <si>
    <t>基础后端服务 / CLI 工具开发</t>
  </si>
  <si>
    <t>P03-M016, P03-M018</t>
  </si>
  <si>
    <t>实现一个简单后端服务或 CLI 工具，支持参数输入、结果输出、错误处理和日志；提交代码和运行验证。</t>
  </si>
  <si>
    <t>P03.04.03</t>
  </si>
  <si>
    <t>HTTP 服务与 REST API 开发</t>
  </si>
  <si>
    <t>P03-M015, P03-M016, P03-M018</t>
  </si>
  <si>
    <t>实现一个 REST API Demo，包含请求参数、响应结构、错误处理和简单鉴权；提交接口文档、代码和调用结果。</t>
  </si>
  <si>
    <t>P03.04.04</t>
  </si>
  <si>
    <t>Java / Go 并发编程基础</t>
  </si>
  <si>
    <t>P03-M017, P03-M019, P03-M022, P03-M023</t>
  </si>
  <si>
    <t>实现简单并发任务或服务端并发处理 Demo，覆盖线程 / 协程、Channel、锁、连接池、任务队列或超时取消；提交代码、并发测试结果和风险说明。</t>
  </si>
  <si>
    <t>20–32h</t>
  </si>
  <si>
    <t>P03.04.05</t>
  </si>
  <si>
    <t>配置、日志、异常与依赖管理</t>
  </si>
  <si>
    <t>P03-M009, P03-M016, P03-M018</t>
  </si>
  <si>
    <t>为服务或工具增加配置读取、日志输出、异常处理、依赖管理；提交代码、配置样例和异常验证记录。</t>
  </si>
  <si>
    <t>P03.04.06</t>
  </si>
  <si>
    <t>数据库访问与连接池基础</t>
  </si>
  <si>
    <t>P03-M005, P03-M006, P03-M016, P03-M018</t>
  </si>
  <si>
    <t>完成服务端连接数据库、执行查询、事务处理、连接池配置和异常处理；提交代码、SQL、测试记录和连接池配置说明。</t>
  </si>
  <si>
    <t>P03.04.07</t>
  </si>
  <si>
    <t>服务端性能、安全与稳定性基础</t>
  </si>
  <si>
    <t>P03-M019, P03-M021</t>
  </si>
  <si>
    <t>对一个服务进行超时、重试、限流、鉴权、输入校验、日志追踪等改造；提交改造前后对比和验证结果。</t>
  </si>
  <si>
    <t>20–40h</t>
  </si>
  <si>
    <t>P03.04.08</t>
  </si>
  <si>
    <t>服务开发规范与模板沉淀</t>
  </si>
  <si>
    <t>P03-M016, P03-M018, P03-M020</t>
  </si>
  <si>
    <t>沉淀 Java / Go 服务模板，包含目录结构、配置、日志、测试、接口文档和部署说明；提交模板代码和使用说明。</t>
  </si>
  <si>
    <t>P03.05</t>
  </si>
  <si>
    <t>API / SDK / 系统集成开发能力</t>
  </si>
  <si>
    <t>P03.05.01</t>
  </si>
  <si>
    <t>API 协议与集成基础</t>
  </si>
  <si>
    <t>能说明 HTTP、REST、JSON、状态码、认证方式、超时、重试等概念；完成一个 API 调用 Demo 并提交调用结果。</t>
  </si>
  <si>
    <t>P03.05.02</t>
  </si>
  <si>
    <t>第三方 API 调用与 SDK 使用</t>
  </si>
  <si>
    <t>P03-M015, P03-M018</t>
  </si>
  <si>
    <t>调用一个第三方或内部 API / SDK，完成参数配置、认证、结果解析和异常处理；提交代码和调用记录。</t>
  </si>
  <si>
    <t>P03.05.03</t>
  </si>
  <si>
    <t>API 封装、参数校验与错误处理</t>
  </si>
  <si>
    <t>P03-M015, P03-M016, P03-M021</t>
  </si>
  <si>
    <t>封装一个可复用 API Client 或服务接口，包含参数校验、错误码、异常处理和日志；提交代码与测试结果。</t>
  </si>
  <si>
    <t>P03.05.04</t>
  </si>
  <si>
    <t>系统联调与接口测试</t>
  </si>
  <si>
    <t>P03-M013, P03-M015, P03-M016</t>
  </si>
  <si>
    <t>完成接口联调、Mock、测试用例、异常场景验证；提交测试记录、问题清单和修复结果。</t>
  </si>
  <si>
    <t>12–24h</t>
  </si>
  <si>
    <t>P03.05.05</t>
  </si>
  <si>
    <t>数据服务 / 模型服务 / 产品 API 集成</t>
  </si>
  <si>
    <t>完成一次数据服务、模型服务或公司产品 API 的集成 Demo，包含鉴权、调用、结果解析和展示；提交 Demo 和验证报告。</t>
  </si>
  <si>
    <t>P03.05.06</t>
  </si>
  <si>
    <t>工具调用与批处理集成脚本</t>
  </si>
  <si>
    <t>P03-M007, P03-M014, P03-M015</t>
  </si>
  <si>
    <t>开发一个批量调用 API 或工具的脚本，支持并发 / 重试 / 失败记录；提交脚本、输入清单、执行结果和失败处理说明。</t>
  </si>
  <si>
    <t>P03.05.07</t>
  </si>
  <si>
    <t>接口规范、联调文档与集成方案</t>
  </si>
  <si>
    <t>P03-M015, P03-M016</t>
  </si>
  <si>
    <t>输出接口规范、字段说明、错误码、联调流程、依赖关系和验收标准；提交集成方案文档。</t>
  </si>
  <si>
    <t>P03.05.08</t>
  </si>
  <si>
    <t>API 安全与权限边界</t>
  </si>
  <si>
    <t>P03-M021</t>
  </si>
  <si>
    <t>识别并处理 API 鉴权、越权、敏感数据暴露、参数校验、速率限制等风险；提交安全检查清单和修复建议。</t>
  </si>
  <si>
    <t>P03.06</t>
  </si>
  <si>
    <t>测试、调试、问题定位与代码质量能力</t>
  </si>
  <si>
    <t>P03.06.01</t>
  </si>
  <si>
    <t>单元测试基础</t>
  </si>
  <si>
    <t>P03-M013</t>
  </si>
  <si>
    <t>为 SQL / Python / Java / Go 中至少一种代码编写单元测试，覆盖正常和异常场景；提交测试代码和通过截图。</t>
  </si>
  <si>
    <t>P03.06.02</t>
  </si>
  <si>
    <t>集成测试与回归测试</t>
  </si>
  <si>
    <t>完成一个接口、脚本或数据处理链路的集成测试和回归测试清单；提交测试报告。</t>
  </si>
  <si>
    <t>P03.06.03</t>
  </si>
  <si>
    <t>Debug、日志与异常定位</t>
  </si>
  <si>
    <t>P03-M009</t>
  </si>
  <si>
    <t>针对一个实际或模拟错误，通过日志、断点、异常栈定位问题并修复；提交定位过程和修复记录。</t>
  </si>
  <si>
    <t>P03.06.04</t>
  </si>
  <si>
    <t>测试数据与 Mock 能力</t>
  </si>
  <si>
    <t>构造测试数据、Mock 外部接口或依赖服务，完成异常场景测试；提交 Mock 代码、测试数据和结果。</t>
  </si>
  <si>
    <t>P03.06.05</t>
  </si>
  <si>
    <t>代码质量检查与静态扫描</t>
  </si>
  <si>
    <t>P03-M013, P03-M020</t>
  </si>
  <si>
    <t>使用格式化、Lint、静态检查或 IDE 检查工具发现并修复问题；提交检查结果和修复前后对比。</t>
  </si>
  <si>
    <t>P03.06.06</t>
  </si>
  <si>
    <t>缺陷复现、定位与修复闭环</t>
  </si>
  <si>
    <t>P03-M009, P03-M013</t>
  </si>
  <si>
    <t>针对一个缺陷输出复现步骤、根因分析、修复方案、测试结果和复盘记录。</t>
  </si>
  <si>
    <t>P03.06.07</t>
  </si>
  <si>
    <t>可观测性与排障线索设计</t>
  </si>
  <si>
    <t>为脚本 / 服务增加关键日志、错误码、运行指标或链路信息，使问题可追踪；提交改造结果和排障示例。</t>
  </si>
  <si>
    <t>P03.06.08</t>
  </si>
  <si>
    <t>质量门禁与测试策略</t>
  </si>
  <si>
    <t>设计项目级测试策略、质量门禁、代码合入检查和回归测试清单；提交策略文档和模板。</t>
  </si>
  <si>
    <t>P03.07</t>
  </si>
  <si>
    <t>版本管理、工程规范与协作开发能力</t>
  </si>
  <si>
    <t>P03.07.01</t>
  </si>
  <si>
    <t>Git 基础操作</t>
  </si>
  <si>
    <t>P03-M020</t>
  </si>
  <si>
    <t>完成 clone、branch、commit、push、pull、merge 等基础操作；提交操作截图和分支记录。</t>
  </si>
  <si>
    <t>P03.07.02</t>
  </si>
  <si>
    <t>分支管理与合并冲突处理</t>
  </si>
  <si>
    <t>模拟分支开发和冲突场景，完成冲突解决、合并和回滚；提交冲突处理记录。</t>
  </si>
  <si>
    <t>6–12h</t>
  </si>
  <si>
    <t>P03.07.03</t>
  </si>
  <si>
    <t>Commit / MR / PR 规范</t>
  </si>
  <si>
    <t>按规范提交 Commit 和 MR / PR，补充变更说明、影响范围、测试结果；提交示例。</t>
  </si>
  <si>
    <t>P03.07.04</t>
  </si>
  <si>
    <t>代码评审协作</t>
  </si>
  <si>
    <t>P03-M020, P03-M013</t>
  </si>
  <si>
    <t>参与一次代码评审，提出可执行修改建议，记录问题类型和修复结果。</t>
  </si>
  <si>
    <t>P03.07.05</t>
  </si>
  <si>
    <t>项目结构与工程目录规范</t>
  </si>
  <si>
    <t>P03-M007, P03-M016, P03-M018</t>
  </si>
  <si>
    <t>整理一个项目目录结构，包含源码、配置、测试、文档、脚本等；提交结构说明和模板。</t>
  </si>
  <si>
    <t>P03.07.06</t>
  </si>
  <si>
    <t>依赖、配置与环境隔离管理</t>
  </si>
  <si>
    <t>使用 requirements / Maven / Go modules 或配置文件管理依赖和环境；提交依赖文件、配置样例和运行说明。</t>
  </si>
  <si>
    <t>P03.07.07</t>
  </si>
  <si>
    <t>CI / CD 基础认知与流水线接入</t>
  </si>
  <si>
    <t>为代码库设计或接入基础流水线，执行测试、格式检查或打包；提交流水线配置和运行结果。</t>
  </si>
  <si>
    <t>P03.07.08</t>
  </si>
  <si>
    <t>团队开发规范沉淀</t>
  </si>
  <si>
    <t>沉淀团队代码提交规范、目录规范、评审规范、版本管理规范和示例仓库。</t>
  </si>
  <si>
    <t>P03.08</t>
  </si>
  <si>
    <t>性能、安全与可维护性优化能力</t>
  </si>
  <si>
    <t>P03.08.01</t>
  </si>
  <si>
    <t>代码可读性与可维护性优化</t>
  </si>
  <si>
    <t>对一段可读性差的代码进行命名、拆函数、去重复、注释和结构优化；提交重构前后对比。</t>
  </si>
  <si>
    <t>P03.08.02</t>
  </si>
  <si>
    <t>SQL / 脚本 / 服务性能分析</t>
  </si>
  <si>
    <t>P03-M006, P03-M009</t>
  </si>
  <si>
    <t>选择一个 SQL、脚本或服务，定位性能瓶颈并优化；提交耗时、资源、执行计划或日志对比。</t>
  </si>
  <si>
    <t>P03.08.03</t>
  </si>
  <si>
    <t>并发性能与稳定性优化</t>
  </si>
  <si>
    <t>P03-M010, P03-M011, P03-M012, P03-M017, P03-M019, P03-M022, P03-M023</t>
  </si>
  <si>
    <t>分析并发任务中的资源竞争、死锁、超时、连接池、任务队列、限流、重试、幂等问题；提交问题分析和优化前后对比。</t>
  </si>
  <si>
    <t>24–40h</t>
  </si>
  <si>
    <t>P03.08.04</t>
  </si>
  <si>
    <t>资源使用优化</t>
  </si>
  <si>
    <t>优化内存、CPU、磁盘 IO、网络调用或数据库连接使用；提交资源使用分析和优化记录。</t>
  </si>
  <si>
    <t>P03.08.05</t>
  </si>
  <si>
    <t>安全编码基础</t>
  </si>
  <si>
    <t>识别硬编码密钥、SQL 注入、命令注入、越权访问、敏感信息日志等问题并修复；提交安全检查清单和修复记录。</t>
  </si>
  <si>
    <t>P03.08.06</t>
  </si>
  <si>
    <t>超时、重试、幂等、限流与降级</t>
  </si>
  <si>
    <t>P03-M015, P03-M021</t>
  </si>
  <si>
    <t>为 API 调用、批处理任务或服务增加超时、重试、幂等和限流机制；提交代码和异常场景验证。</t>
  </si>
  <si>
    <t>P03.08.07</t>
  </si>
  <si>
    <t>重构与技术债治理</t>
  </si>
  <si>
    <t>识别一个模块的技术债，输出重构计划并完成局部重构；提交重构说明、测试结果和风险控制。</t>
  </si>
  <si>
    <t>P03.08.08</t>
  </si>
  <si>
    <t>性能、安全与可维护性评审方法论</t>
  </si>
  <si>
    <t>P03-M006, P03-M021, P03-M020</t>
  </si>
  <si>
    <t>沉淀性能评审、安全评审、可维护性评审清单和示例；提交团队级质量治理模板。</t>
  </si>
  <si>
    <t>P03.09</t>
  </si>
  <si>
    <t>代码资产、工具化与复用沉淀能力</t>
  </si>
  <si>
    <t>P03.09.01</t>
  </si>
  <si>
    <t>脚本资产沉淀</t>
  </si>
  <si>
    <t>P03-M007, P03-M014, P03-M020</t>
  </si>
  <si>
    <t>将一次性脚本整理为可复用脚本，补充参数、日志、错误处理和 README；提交脚本仓库。</t>
  </si>
  <si>
    <t>P03.09.02</t>
  </si>
  <si>
    <t>通用工具函数与模板</t>
  </si>
  <si>
    <t>沉淀通用函数、配置模板、日志模板、错误处理模板或 SQL 模板；提交示例和使用说明。</t>
  </si>
  <si>
    <t>P03.09.03</t>
  </si>
  <si>
    <t>自动化工具开发</t>
  </si>
  <si>
    <t>开发一个面向数据校验、日志分析、批量调用、环境检查、报告生成的自动化工具；提交代码、运行结果和说明。</t>
  </si>
  <si>
    <t>P03.09.04</t>
  </si>
  <si>
    <t>项目代码库与组件复用</t>
  </si>
  <si>
    <t>将项目中可复用部分抽象为模块、组件或代码库，提供调用示例和版本说明。</t>
  </si>
  <si>
    <t>P03.09.05</t>
  </si>
  <si>
    <t>Demo / POC 代码标准化</t>
  </si>
  <si>
    <t>P03-M015, P03-M020</t>
  </si>
  <si>
    <t>将 Demo / POC 代码整理为可演示、可复现、可交接版本，包含说明文档、测试数据和运行脚本。</t>
  </si>
  <si>
    <t>P03.09.06</t>
  </si>
  <si>
    <t>内部工具文档和使用指南</t>
  </si>
  <si>
    <t>为工具或代码资产编写使用手册、示例、参数说明和常见问题；提交文档和演示记录。</t>
  </si>
  <si>
    <t>P03.09.07</t>
  </si>
  <si>
    <t>代码资产版本化与发布</t>
  </si>
  <si>
    <t>为工具或组件设计版本号、变更记录、发布流程和回滚方式；提交发布记录和 changelog。</t>
  </si>
  <si>
    <t>P03.09.08</t>
  </si>
  <si>
    <t>团队级工具平台与资产库</t>
  </si>
  <si>
    <t>规划并建设团队代码资产库、工具目录、模板库和维护机制；提交资产清单、维护规则和推广计划。</t>
  </si>
  <si>
    <t>24–48h</t>
  </si>
  <si>
    <t>通用素质能力</t>
  </si>
  <si>
    <t>C01</t>
  </si>
  <si>
    <t>基本办公能力</t>
  </si>
  <si>
    <t>C01.01</t>
  </si>
  <si>
    <t>办公工具与文件管理基础</t>
  </si>
  <si>
    <t>C01.01.01</t>
  </si>
  <si>
    <t>常用办公工具基础</t>
  </si>
  <si>
    <t>C01-M001、C01-M006、C01-M013</t>
  </si>
  <si>
    <t>完成 Word / Excel / PPT / PDF / 网盘或在线文档的基础操作 Demo，提交一组规范命名的示例文件和协作链接。</t>
  </si>
  <si>
    <t>4–6h</t>
  </si>
  <si>
    <t>C01.01.02</t>
  </si>
  <si>
    <t>文件命名与目录结构规范</t>
  </si>
  <si>
    <t>C01-M014</t>
  </si>
  <si>
    <t>基于一个模拟项目建立目录结构、文件命名规则和版本保存方式，提交目录截图和命名规范说明。</t>
  </si>
  <si>
    <t>3–4h</t>
  </si>
  <si>
    <t>C01.01.03</t>
  </si>
  <si>
    <t>文件版本管理与变更记录</t>
  </si>
  <si>
    <t>C01-M014、C01-M006</t>
  </si>
  <si>
    <t>对同一份文档进行至少 3 次版本更新，提交版本记录、变更说明和最终版本。</t>
  </si>
  <si>
    <t>C01.01.04</t>
  </si>
  <si>
    <t>PDF、截图与附件整理</t>
  </si>
  <si>
    <t>C01-M013</t>
  </si>
  <si>
    <t>整理一组截图、日志、PDF 和附件，完成编号、压缩、备注说明和引用关系，提交材料包。</t>
  </si>
  <si>
    <t>3–5h</t>
  </si>
  <si>
    <t>C01.01.05</t>
  </si>
  <si>
    <t>项目资料归档与可追溯管理</t>
  </si>
  <si>
    <t>C01-M014、内部项目归档规范</t>
  </si>
  <si>
    <t>对一个项目或模拟项目进行资料归档，提交交付目录、材料清单、缺失项说明和归档截图。</t>
  </si>
  <si>
    <t>C01.01.06</t>
  </si>
  <si>
    <t>共享空间与知识库维护</t>
  </si>
  <si>
    <t>设计团队共享空间分类结构，沉淀常用模板区、项目归档区、学习资料区，提交空间结构和维护规则。</t>
  </si>
  <si>
    <t>C01.02</t>
  </si>
  <si>
    <t>文档写作与排版能力</t>
  </si>
  <si>
    <t>C01.02.01</t>
  </si>
  <si>
    <t>会议纪要与操作记录</t>
  </si>
  <si>
    <t>C01-M012、C01-M002</t>
  </si>
  <si>
    <t>基于一次会议或实操过程输出会议纪要 / 操作记录，包含背景、事项、责任人、时间点、问题和结论。</t>
  </si>
  <si>
    <t>C01.02.02</t>
  </si>
  <si>
    <t>操作手册与部署记录写作</t>
  </si>
  <si>
    <t>C01-M002、内部部署文档模板</t>
  </si>
  <si>
    <t>基于一次产品安装或工具操作输出操作手册，包含步骤、截图、注意事项和验证结果。</t>
  </si>
  <si>
    <t>C01.02.03</t>
  </si>
  <si>
    <t>问题处理与复盘文档</t>
  </si>
  <si>
    <t>C01-M012、内部问题复盘模板</t>
  </si>
  <si>
    <t>针对一个真实或模拟问题输出问题现象、排查过程、原因、解决方案、预防措施和复盘结论。</t>
  </si>
  <si>
    <t>C01.02.04</t>
  </si>
  <si>
    <t>方案文档与 POC 报告结构</t>
  </si>
  <si>
    <t>C01-M012、内部方案模板</t>
  </si>
  <si>
    <t>输出一个小型 POC 报告或方案章节，包含目标、范围、方案、步骤、结果、风险和建议。</t>
  </si>
  <si>
    <t>C01.02.05</t>
  </si>
  <si>
    <t>培训材料与知识转移文档</t>
  </si>
  <si>
    <t>C01-M002、C01-M005</t>
  </si>
  <si>
    <t>基于一个技术主题输出培训讲义或知识转移文档，并通过同事评审。</t>
  </si>
  <si>
    <t>C01.02.06</t>
  </si>
  <si>
    <t>文档模板、写作规范与样例沉淀</t>
  </si>
  <si>
    <t>C01-M012、内部高质量样例</t>
  </si>
  <si>
    <t>沉淀一套文档模板和写作检查清单，至少包含纪要、操作手册、POC 报告、复盘报告。</t>
  </si>
  <si>
    <t>C01.03</t>
  </si>
  <si>
    <t>Excel 数据整理与分析能力</t>
  </si>
  <si>
    <t>C01.03.01</t>
  </si>
  <si>
    <t>基础数据录入、清洗与格式整理</t>
  </si>
  <si>
    <t>C01-M003、C01-M004</t>
  </si>
  <si>
    <t>整理一份原始台账，完成去重、空值处理、格式统一、筛选排序和基础统计，提交处理前后文件。</t>
  </si>
  <si>
    <t>C01.03.02</t>
  </si>
  <si>
    <t>基础公式与常用函数</t>
  </si>
  <si>
    <t>使用 SUM / COUNTIF / VLOOKUP 或 XLOOKUP / IF / TEXT 等函数完成任务统计或问题统计表。</t>
  </si>
  <si>
    <t>C01.03.03</t>
  </si>
  <si>
    <t>条件格式、数据验证与基础图表</t>
  </si>
  <si>
    <t>C01-M003</t>
  </si>
  <si>
    <t>制作问题清单或任务跟踪表，添加下拉选项、条件格式、基础柱状图 / 折线图。</t>
  </si>
  <si>
    <t>C01.03.04</t>
  </si>
  <si>
    <t>数据透视表与汇总分析</t>
  </si>
  <si>
    <t>基于项目问题 / 测试结果 / 工时数据制作数据透视表，输出分类统计和结论说明。</t>
  </si>
  <si>
    <t>C01.03.05</t>
  </si>
  <si>
    <t>项目台账、问题清单与能力盘点表设计</t>
  </si>
  <si>
    <t>C01-M003、内部项目台账模板</t>
  </si>
  <si>
    <t>设计一个可直接使用的项目台账或能力盘点表，包含字段、状态、责任人、风险和统计结果。</t>
  </si>
  <si>
    <t>C01.03.06</t>
  </si>
  <si>
    <t>Excel 模板、分析模型与自动化处理</t>
  </si>
  <si>
    <t>C01-M003、C01-M015</t>
  </si>
  <si>
    <t>使用公式、数据透视或 Power Query 沉淀一个可复用分析模板，提交模板和使用说明。</t>
  </si>
  <si>
    <t>C01.04</t>
  </si>
  <si>
    <t>PPT 结构化表达与视觉呈现能力</t>
  </si>
  <si>
    <t>C01.04.01</t>
  </si>
  <si>
    <t>基础汇报页制作</t>
  </si>
  <si>
    <t>C01-M005</t>
  </si>
  <si>
    <t>按模板制作 3–5 页基础汇报，做到标题明确、层次清楚、文字不堆叠、版式统一。</t>
  </si>
  <si>
    <t>C01.04.02</t>
  </si>
  <si>
    <t>PPT 逻辑结构与故事线设计</t>
  </si>
  <si>
    <t>C01-M005、内部优秀汇报样例</t>
  </si>
  <si>
    <t>围绕一个主题输出 PPT 大纲和页面结构，说明背景、问题、方案、结果和下一步。</t>
  </si>
  <si>
    <t>C01.04.03</t>
  </si>
  <si>
    <t>数据图表与信息图表达</t>
  </si>
  <si>
    <t>C01-M005、C01-M003</t>
  </si>
  <si>
    <t>将一组数据转化为图表或信息图页面，提交数据源、图表页和结论说明。</t>
  </si>
  <si>
    <t>C01.04.04</t>
  </si>
  <si>
    <t>架构图、流程图与方案页表达</t>
  </si>
  <si>
    <t>C01-M005、C01-M007、C01-M008</t>
  </si>
  <si>
    <t>制作一组技术架构 / 业务流程 / 实施路径页面，提交 PPT 和图示说明。</t>
  </si>
  <si>
    <t>C01.04.05</t>
  </si>
  <si>
    <t>客户汇报、培训课件与评审材料</t>
  </si>
  <si>
    <t>C01-M005、内部客户汇报样例</t>
  </si>
  <si>
    <t>完成一份 10–20 页客户汇报或培训课件，并通过内部评审。</t>
  </si>
  <si>
    <t>C01.04.06</t>
  </si>
  <si>
    <t>PPT 模板、视觉规范与素材库沉淀</t>
  </si>
  <si>
    <t>C01-M005、内部品牌规范</t>
  </si>
  <si>
    <t>沉淀一套 PPT 模板、页面组件、配色字体规范和常用图示素材库。</t>
  </si>
  <si>
    <t>C01.05</t>
  </si>
  <si>
    <t>脑图、流程图与图示表达能力</t>
  </si>
  <si>
    <t>C01.05.01</t>
  </si>
  <si>
    <t>脑图整理与任务拆解</t>
  </si>
  <si>
    <t>C01-M009</t>
  </si>
  <si>
    <t>基于一个学习主题或项目任务输出脑图，体现层级、分类和优先级。</t>
  </si>
  <si>
    <t>C01.05.02</t>
  </si>
  <si>
    <t>业务流程图绘制</t>
  </si>
  <si>
    <t>C01-M007、C01-M008</t>
  </si>
  <si>
    <t>绘制一个业务流程图或操作流程图，包含角色、步骤、输入输出和关键节点。</t>
  </si>
  <si>
    <t>C01.05.03</t>
  </si>
  <si>
    <t>技术架构图绘制</t>
  </si>
  <si>
    <t>绘制一个系统 / 平台 / 产品组合架构图，标注组件、依赖和数据流向。</t>
  </si>
  <si>
    <t>C01.05.04</t>
  </si>
  <si>
    <t>数据流、权限流与部署流表达</t>
  </si>
  <si>
    <t>针对一个项目场景输出数据流转图、权限关系图或部署拓扑图。</t>
  </si>
  <si>
    <t>C01.05.05</t>
  </si>
  <si>
    <t>问题排查路径图与决策树</t>
  </si>
  <si>
    <t>针对一个故障或问题类型绘制排查路径图，说明检查项、判断条件和处理动作。</t>
  </si>
  <si>
    <t>C01.05.06</t>
  </si>
  <si>
    <t>图示规范、组件库与表达方法沉淀</t>
  </si>
  <si>
    <t>C01-M007、C01-M008、内部图示样例</t>
  </si>
  <si>
    <t>沉淀团队常用图示模板、组件库和绘图规范，覆盖流程图、架构图、数据流图。</t>
  </si>
  <si>
    <t>C01.06</t>
  </si>
  <si>
    <t>项目材料整理与交付文档管理能力</t>
  </si>
  <si>
    <t>C01.06.01</t>
  </si>
  <si>
    <t>项目过程材料收集</t>
  </si>
  <si>
    <t>内部项目资料清单</t>
  </si>
  <si>
    <t>按项目阶段收集会议纪要、截图、日志、测试结果、问题记录和客户反馈，提交材料清单。</t>
  </si>
  <si>
    <t>C01.06.02</t>
  </si>
  <si>
    <t>截图、日志与测试结果整理</t>
  </si>
  <si>
    <t>内部测试记录模板</t>
  </si>
  <si>
    <t>整理一次实操或测试过程的截图、日志、测试结果，形成可追溯验证记录。</t>
  </si>
  <si>
    <t>C01.06.03</t>
  </si>
  <si>
    <t>交付文档包整理</t>
  </si>
  <si>
    <t>内部交付清单模板</t>
  </si>
  <si>
    <t>按照交付清单整理部署文档、操作手册、测试报告、问题清单、验收材料，提交交付包目录。</t>
  </si>
  <si>
    <t>C01.06.04</t>
  </si>
  <si>
    <t>验收材料与培训材料管理</t>
  </si>
  <si>
    <t>内部验收模板、C01-M005</t>
  </si>
  <si>
    <t>整理一套验收材料和培训材料，保证版本一致、内容完整、客户可读。</t>
  </si>
  <si>
    <t>C01.06.05</t>
  </si>
  <si>
    <t>项目归档、审计与追溯</t>
  </si>
  <si>
    <t>内部归档规范</t>
  </si>
  <si>
    <t>完成项目归档，包含材料目录、版本记录、交付记录、验收记录和缺失项说明。</t>
  </si>
  <si>
    <t>C01.06.06</t>
  </si>
  <si>
    <t>交付材料标准、模板与归档规范沉淀</t>
  </si>
  <si>
    <t>内部交付规范样例</t>
  </si>
  <si>
    <t>沉淀项目交付清单、文档模板、归档规范和质量检查表。</t>
  </si>
  <si>
    <t>C01.07</t>
  </si>
  <si>
    <t>AI 办公工具与生产力应用能力</t>
  </si>
  <si>
    <t>C01.07.01</t>
  </si>
  <si>
    <t>AI 办公工具体系认知</t>
  </si>
  <si>
    <t>C01-M010、C01-M011</t>
  </si>
  <si>
    <t>梳理常用 AI 办公工具类型、适用场景和风险边界，输出工具地图和使用注意事项。</t>
  </si>
  <si>
    <t>C01.07.02</t>
  </si>
  <si>
    <t>AI 辅助会议纪要、摘要与资料整理</t>
  </si>
  <si>
    <t>使用 AI 对会议记录或项目资料生成纪要、摘要和行动项，提交原始材料、Prompt 和人工校验结果。</t>
  </si>
  <si>
    <t>C01.07.03</t>
  </si>
  <si>
    <t>AI 辅助文档润色与结构化</t>
  </si>
  <si>
    <t>C01-M010、C01-M012</t>
  </si>
  <si>
    <t>使用 AI 改写一份文档，使结构更清晰、表达更准确，提交修改前后对比和人工确认记录。</t>
  </si>
  <si>
    <t>C01.07.04</t>
  </si>
  <si>
    <t>AI 辅助表格整理与数据分析</t>
  </si>
  <si>
    <t>C01-M010、C01-M003</t>
  </si>
  <si>
    <t>使用 AI 辅助生成公式、整理表格或分析数据，提交结果文件、公式说明和人工校验结论。</t>
  </si>
  <si>
    <t>C01.07.05</t>
  </si>
  <si>
    <t>AI 辅助 PPT、脑图与报告初稿</t>
  </si>
  <si>
    <t>C01-M010、C01-M005、C01-M009</t>
  </si>
  <si>
    <t>使用 AI 生成 PPT 大纲、脑图或报告初稿，再人工修订成可交付版本，提交生成过程和最终结果。</t>
  </si>
  <si>
    <t>C01.07.06</t>
  </si>
  <si>
    <t>AI 办公模板、Prompt 与质量检查机制沉淀</t>
  </si>
  <si>
    <t>C01-M010、C01-M011、内部 AI 办公样例</t>
  </si>
  <si>
    <t>沉淀团队级 AI 办公 Prompt 模板、材料生成规范、人工校验清单和最佳实践。</t>
  </si>
  <si>
    <t>C02</t>
  </si>
  <si>
    <t>沟通协作</t>
  </si>
  <si>
    <t>C02.01</t>
  </si>
  <si>
    <t>任务接收与反馈能力</t>
  </si>
  <si>
    <t>C02.01.01</t>
  </si>
  <si>
    <t>任务目标理解</t>
  </si>
  <si>
    <t>C02-M001</t>
  </si>
  <si>
    <t>能在接到任务后复述目标、背景、交付物、时间点和优先级；输出任务确认记录。</t>
  </si>
  <si>
    <t>1-2h</t>
  </si>
  <si>
    <t>C02.01.02</t>
  </si>
  <si>
    <t>任务范围与边界确认</t>
  </si>
  <si>
    <t>确认任务包含 / 不包含内容、依赖条件、完成标准；输出任务范围确认说明。</t>
  </si>
  <si>
    <t>C02.01.03</t>
  </si>
  <si>
    <t>进度反馈与状态同步</t>
  </si>
  <si>
    <t>C02-M001、C02-M012</t>
  </si>
  <si>
    <t>按要求同步进展、阻塞、下一步计划；形成日报 / 周报 / 任务状态更新。</t>
  </si>
  <si>
    <t>2-3h</t>
  </si>
  <si>
    <t>C02.01.04</t>
  </si>
  <si>
    <t>问题与阻塞反馈</t>
  </si>
  <si>
    <t>C02-M001、C02-M004</t>
  </si>
  <si>
    <t>遇到问题能说明现象、影响、已尝试动作、需要支持事项；输出问题反馈记录。</t>
  </si>
  <si>
    <t>C02.01.05</t>
  </si>
  <si>
    <t>任务闭环确认</t>
  </si>
  <si>
    <t>任务完成后确认交付物、验收结果、遗留事项和后续动作；输出闭环记录。</t>
  </si>
  <si>
    <t>2-4h</t>
  </si>
  <si>
    <t>C02.02</t>
  </si>
  <si>
    <t>会议参与与纪要闭环能力</t>
  </si>
  <si>
    <t>C02.02.01</t>
  </si>
  <si>
    <t>会前准备</t>
  </si>
  <si>
    <t>C02-M002、C02-M012</t>
  </si>
  <si>
    <t>提前了解会议目标、议题、背景材料和本人需反馈的问题；输出会前准备清单。</t>
  </si>
  <si>
    <t>C02.02.02</t>
  </si>
  <si>
    <t>会议关键信息记录</t>
  </si>
  <si>
    <t>C02-M002、C02-M008、C02-M009</t>
  </si>
  <si>
    <t>记录会议结论、分歧点、待办事项、责任人和时间点；输出会议纪要。</t>
  </si>
  <si>
    <t>C02.02.03</t>
  </si>
  <si>
    <t>会议待办跟进</t>
  </si>
  <si>
    <t>C02-M002、C02-M008</t>
  </si>
  <si>
    <t>跟进会议待办完成状态，更新责任人、进度、风险和结果；输出待办跟踪表。</t>
  </si>
  <si>
    <t>C02.02.04</t>
  </si>
  <si>
    <t>会议结论复述与确认</t>
  </si>
  <si>
    <t>C02-M002</t>
  </si>
  <si>
    <t>对关键结论现场复述确认，避免理解偏差；输出确认后的会议结论。</t>
  </si>
  <si>
    <t>C02.02.05</t>
  </si>
  <si>
    <t>会议组织与节奏控制</t>
  </si>
  <si>
    <t>C02-M002、C02-M011、C02-M012</t>
  </si>
  <si>
    <t>组织小范围会议，控制议题、时间、结论和待办；输出结构化会议纪要和行动清单。</t>
  </si>
  <si>
    <t>4-6h</t>
  </si>
  <si>
    <t>C02.03</t>
  </si>
  <si>
    <t>需求澄清与边界确认能力</t>
  </si>
  <si>
    <t>C02.03.01</t>
  </si>
  <si>
    <t>业务背景澄清</t>
  </si>
  <si>
    <t>C02-M003</t>
  </si>
  <si>
    <t>询问需求来源、业务目标、使用对象、使用场景；输出需求背景记录。</t>
  </si>
  <si>
    <t>C02.03.02</t>
  </si>
  <si>
    <t>需求内容拆解</t>
  </si>
  <si>
    <t>将模糊需求拆成数据、功能、流程、权限、性能、交付物等要素；输出需求拆解表。</t>
  </si>
  <si>
    <t>3-4h</t>
  </si>
  <si>
    <t>C02.03.03</t>
  </si>
  <si>
    <t>验收标准确认</t>
  </si>
  <si>
    <t>确认什么结果算完成、谁验收、如何验收、验收材料是什么；输出验收标准说明。</t>
  </si>
  <si>
    <t>C02.03.04</t>
  </si>
  <si>
    <t>需求变更识别</t>
  </si>
  <si>
    <t>识别范围变化、口径变化、优先级变化，并同步影响；输出需求变更记录。</t>
  </si>
  <si>
    <t>C02.03.05</t>
  </si>
  <si>
    <t>复杂需求澄清与共识形成</t>
  </si>
  <si>
    <t>C02-M003、C02-M011</t>
  </si>
  <si>
    <t>组织多方澄清复杂需求，形成确认版需求说明、问题清单和决策记录。</t>
  </si>
  <si>
    <t>6-8h</t>
  </si>
  <si>
    <t>C02.04</t>
  </si>
  <si>
    <t>问题沟通与定位协同能力</t>
  </si>
  <si>
    <t>C02.04.01</t>
  </si>
  <si>
    <t>问题现象描述</t>
  </si>
  <si>
    <t>C02-M004</t>
  </si>
  <si>
    <t>准确描述问题发生时间、环境、操作步骤、错误现象和影响范围；输出问题描述记录。</t>
  </si>
  <si>
    <t>C02.04.02</t>
  </si>
  <si>
    <t>证据材料准备</t>
  </si>
  <si>
    <t>收集截图、日志、配置、SQL、版本、复现步骤等材料；输出问题定位附件包。</t>
  </si>
  <si>
    <t>C02.04.03</t>
  </si>
  <si>
    <t>问题复现与初步判断</t>
  </si>
  <si>
    <t>复现问题并做初步归类，如环境、配置、权限、数据、产品缺陷、使用方式等。</t>
  </si>
  <si>
    <t>3-5h</t>
  </si>
  <si>
    <t>C02.04.04</t>
  </si>
  <si>
    <t>多角色协同定位</t>
  </si>
  <si>
    <t>C02-M004、C02-M010</t>
  </si>
  <si>
    <t>协调开发、产品、运维、客户等角色共同定位问题；输出定位过程和结论。</t>
  </si>
  <si>
    <t>C02.04.05</t>
  </si>
  <si>
    <t>问题复盘与经验反馈</t>
  </si>
  <si>
    <t>对典型问题形成复盘，包含原因、处理过程、预防措施和知识库沉淀。</t>
  </si>
  <si>
    <t>4-8h</t>
  </si>
  <si>
    <t>C02.05</t>
  </si>
  <si>
    <t>客户沟通与现场表达能力</t>
  </si>
  <si>
    <t>C02.05.01</t>
  </si>
  <si>
    <t>基础客户沟通礼仪</t>
  </si>
  <si>
    <t>C02-M005</t>
  </si>
  <si>
    <t>面向客户表达清楚、态度稳定、用词准确，不随意承诺；输出沟通记录。</t>
  </si>
  <si>
    <t>C02.05.02</t>
  </si>
  <si>
    <t>产品功能说明</t>
  </si>
  <si>
    <t>向客户说明基础产品功能、操作步骤和注意事项；完成一次功能讲解或演示。</t>
  </si>
  <si>
    <t>C02.05.03</t>
  </si>
  <si>
    <t>问题原因与处理方案说明</t>
  </si>
  <si>
    <t>C02-M005、C02-M004</t>
  </si>
  <si>
    <t>向客户说明问题现象、原因判断、处理方案、预计影响和后续安排。</t>
  </si>
  <si>
    <t>C02.05.04</t>
  </si>
  <si>
    <t>阶段性进展汇报</t>
  </si>
  <si>
    <t>围绕目标、进展、问题、风险、下一步进行客户阶段性汇报。</t>
  </si>
  <si>
    <t>C02.05.05</t>
  </si>
  <si>
    <t>客户异议回应</t>
  </si>
  <si>
    <t>C02-M005、C02-M007</t>
  </si>
  <si>
    <t>面对客户质疑、异议或不满，基于事实回应并推动形成可执行方案。</t>
  </si>
  <si>
    <t>C02.06</t>
  </si>
  <si>
    <t>跨角色协作与推进能力</t>
  </si>
  <si>
    <t>C02.06.01</t>
  </si>
  <si>
    <t>协作对象识别</t>
  </si>
  <si>
    <t>C02-M006</t>
  </si>
  <si>
    <t>识别任务涉及的产品、开发、测试、运维、售前、项目经理、客户等角色。</t>
  </si>
  <si>
    <t>C02.06.02</t>
  </si>
  <si>
    <t>协作事项拆解</t>
  </si>
  <si>
    <t>将协作事项拆成负责人、输入、输出、时间点和依赖关系；输出协作清单。</t>
  </si>
  <si>
    <t>C02.06.03</t>
  </si>
  <si>
    <t>协作进度跟踪</t>
  </si>
  <si>
    <t>C02-M006、C02-M014</t>
  </si>
  <si>
    <t>跟进跨角色任务进度，推动未完成事项闭环；输出任务跟踪记录。</t>
  </si>
  <si>
    <t>C02.06.04</t>
  </si>
  <si>
    <t>依赖与资源协调</t>
  </si>
  <si>
    <t>协调资源、环境、权限、材料、人员支持，推动任务继续推进。</t>
  </si>
  <si>
    <t>C02.06.05</t>
  </si>
  <si>
    <t>跨团队协作机制建设</t>
  </si>
  <si>
    <t>C02-M006、C02-M011</t>
  </si>
  <si>
    <t>建立跨团队协作机制，如固定例会、问题流转、升级路径、协作模板。</t>
  </si>
  <si>
    <t>8-12h</t>
  </si>
  <si>
    <t>C02.07</t>
  </si>
  <si>
    <t>风险升级与冲突处理能力</t>
  </si>
  <si>
    <t>C02.07.01</t>
  </si>
  <si>
    <t>风险识别</t>
  </si>
  <si>
    <t>C02-M007</t>
  </si>
  <si>
    <t>识别延期、范围变化、资源不足、客户异议、质量问题等风险，并及时记录。</t>
  </si>
  <si>
    <t>C02.07.02</t>
  </si>
  <si>
    <t>风险影响说明</t>
  </si>
  <si>
    <t>说明风险对时间、范围、质量、成本、客户满意度的影响；输出风险说明。</t>
  </si>
  <si>
    <t>C02.07.03</t>
  </si>
  <si>
    <t>升级汇报</t>
  </si>
  <si>
    <t>风险超出个人处理范围时，向上级或相关负责人清晰升级，提出建议选项。</t>
  </si>
  <si>
    <t>C02.07.04</t>
  </si>
  <si>
    <t>冲突事实澄清</t>
  </si>
  <si>
    <t>C02-M007、C02-M011</t>
  </si>
  <si>
    <t>面对责任不清、意见不一致、客户异议时，推动基于事实、数据和记录进行澄清。</t>
  </si>
  <si>
    <t>5-8h</t>
  </si>
  <si>
    <t>C02.07.05</t>
  </si>
  <si>
    <t>决策推动与共识形成</t>
  </si>
  <si>
    <t>推动多方在方案、责任、时间、资源上形成共识，并输出决策记录和行动计划。</t>
  </si>
  <si>
    <t>C03</t>
  </si>
  <si>
    <t>学习创新</t>
  </si>
  <si>
    <t>C03.01</t>
  </si>
  <si>
    <t>学习目标识别与计划制定能力</t>
  </si>
  <si>
    <t>C03.01.01</t>
  </si>
  <si>
    <t>岗位能力差距识别</t>
  </si>
  <si>
    <t>C03-M001、C03-M010</t>
  </si>
  <si>
    <t>对照岗位能力模型或项目任务，列出个人当前能力差距、优先级和需要补齐的知识点，提交能力差距清单。</t>
  </si>
  <si>
    <t>2–4h</t>
  </si>
  <si>
    <t>C03.01.02</t>
  </si>
  <si>
    <t>项目任务学习目标拆解</t>
  </si>
  <si>
    <t>选择一个项目任务，将其拆解为需学习的产品、工具、方法、资料和实操项，提交任务学习拆解表。</t>
  </si>
  <si>
    <t>C03.01.03</t>
  </si>
  <si>
    <t>阶段性学习计划制定</t>
  </si>
  <si>
    <t>C03-M001</t>
  </si>
  <si>
    <t>制定 1–2 周学习计划，明确学习材料、实操任务、输出物、完成时间和验收方式。</t>
  </si>
  <si>
    <t>C03.01.04</t>
  </si>
  <si>
    <t>学习进度跟踪与计划调整</t>
  </si>
  <si>
    <t>C03-M001、C03-M011</t>
  </si>
  <si>
    <t>跟踪学习计划完成情况，记录延期、阻塞和调整原因，提交学习进度跟踪表。</t>
  </si>
  <si>
    <t>C03.01.05</t>
  </si>
  <si>
    <t>专项 / 团队学习路线设计</t>
  </si>
  <si>
    <t>围绕一个专题设计学习路线，包含学习目标、分层任务、材料清单、实操要求和验收标准。</t>
  </si>
  <si>
    <t>C03.02</t>
  </si>
  <si>
    <t>资料检索、筛选与知识获取能力</t>
  </si>
  <si>
    <t>C03.02.01</t>
  </si>
  <si>
    <t>官方文档与产品手册检索</t>
  </si>
  <si>
    <t>C03-M001、C03-M003</t>
  </si>
  <si>
    <t>围绕指定主题检索 3–5 份官方文档 / 产品手册 / 培训材料，提交资料链接、来源和用途说明。</t>
  </si>
  <si>
    <t>C03.02.02</t>
  </si>
  <si>
    <t>高质量资料筛选与来源记录</t>
  </si>
  <si>
    <t>C03-M003</t>
  </si>
  <si>
    <t>对同一主题的多来源资料进行筛选，标注官方 / 非官方、更新时间、适用版本和可信度。</t>
  </si>
  <si>
    <t>C03.02.03</t>
  </si>
  <si>
    <t>资料摘要与知识提取</t>
  </si>
  <si>
    <t>C03-M002、C03-M003</t>
  </si>
  <si>
    <t>将 2–3 份资料提炼为结构化摘要，输出关键概念、操作步骤、注意事项和待验证问题。</t>
  </si>
  <si>
    <t>C03.02.04</t>
  </si>
  <si>
    <t>专题资料包整理</t>
  </si>
  <si>
    <t>C03-M004、C03-M005</t>
  </si>
  <si>
    <t>围绕一个专题整理资料包，包含目录、链接、摘要、适用能力项和实操任务建议。</t>
  </si>
  <si>
    <t>C03.02.05</t>
  </si>
  <si>
    <t>资料可信度与适用性判断</t>
  </si>
  <si>
    <t>C03-M003、C03-M004</t>
  </si>
  <si>
    <t>对一组资料进行适用性判断，说明是否适用于当前产品版本、项目场景和团队培训。</t>
  </si>
  <si>
    <t>C03.03</t>
  </si>
  <si>
    <t>实操验证与 Demo 构建能力</t>
  </si>
  <si>
    <t>C03.03.01</t>
  </si>
  <si>
    <t>教程 / 手册基础实操复现</t>
  </si>
  <si>
    <t>C03-M001、C03-M002</t>
  </si>
  <si>
    <t>按教程或手册完成一次基础实操，提交操作步骤、截图、结果说明和遇到的问题。</t>
  </si>
  <si>
    <t>C03.03.02</t>
  </si>
  <si>
    <t>Demo 环境准备与结果记录</t>
  </si>
  <si>
    <t>C03-M010</t>
  </si>
  <si>
    <t>准备独立测试环境或模拟环境，完成 Demo 运行，提交环境信息、配置记录和结果截图。</t>
  </si>
  <si>
    <t>C03.03.03</t>
  </si>
  <si>
    <t>功能 / 配置 / 脚本验证</t>
  </si>
  <si>
    <t>针对一个功能、配置项或脚本完成验证，提交输入、执行过程、输出结果和判断结论。</t>
  </si>
  <si>
    <t>C03.03.04</t>
  </si>
  <si>
    <t>验证用例设计与结果对比</t>
  </si>
  <si>
    <t>C03-M010、C03-M012</t>
  </si>
  <si>
    <t>设计 3–5 条验证用例，执行后记录预期结果、实际结果、差异和原因分析。</t>
  </si>
  <si>
    <t>C03.03.05</t>
  </si>
  <si>
    <t>复杂场景 Demo / POC 设计</t>
  </si>
  <si>
    <t>围绕一个项目场景设计 Demo / POC，包含目标、环境、数据、步骤、验收标准和结果报告。</t>
  </si>
  <si>
    <t>C03.04</t>
  </si>
  <si>
    <t>学习笔记、复盘与知识沉淀能力</t>
  </si>
  <si>
    <t>C03.04.01</t>
  </si>
  <si>
    <t>学习笔记结构化整理</t>
  </si>
  <si>
    <t>将学习内容整理为结构化笔记，包含背景、概念、步骤、问题、结论和参考链接。</t>
  </si>
  <si>
    <t>C03.04.02</t>
  </si>
  <si>
    <t>操作步骤与问题记录</t>
  </si>
  <si>
    <t>将一次实操过程整理为操作步骤和问题记录，要求可被他人复现。</t>
  </si>
  <si>
    <t>C03.04.03</t>
  </si>
  <si>
    <t>FAQ / 问题库沉淀</t>
  </si>
  <si>
    <t>把 5–10 个常见问题整理为 FAQ，包含现象、原因、处理步骤、验证方式和参考资料。</t>
  </si>
  <si>
    <t>C03.04.04</t>
  </si>
  <si>
    <t>复盘报告与改进建议</t>
  </si>
  <si>
    <t>C03-M006、C03-M007</t>
  </si>
  <si>
    <t>完成一次学习或项目复盘，输出做得好的、做得不好的、原因分析、改进措施和责任人。</t>
  </si>
  <si>
    <t>C03.04.05</t>
  </si>
  <si>
    <t>知识库条目与模板维护</t>
  </si>
  <si>
    <t>在团队知识库中新增或优化一组条目，保证命名、分类、标签、版本和内容格式一致。</t>
  </si>
  <si>
    <t>C03.05</t>
  </si>
  <si>
    <t>问题驱动学习与持续改进能力</t>
  </si>
  <si>
    <t>C03.05.01</t>
  </si>
  <si>
    <t>问题现象转学习问题</t>
  </si>
  <si>
    <t>将实际问题转化为可学习、可验证的问题清单，明确需补齐的知识点和验证方法。</t>
  </si>
  <si>
    <t>C03.05.02</t>
  </si>
  <si>
    <t>定向补齐知识点并验证</t>
  </si>
  <si>
    <t>针对一个问题查找资料、补齐知识点并完成验证，提交问题-资料-验证-结论记录。</t>
  </si>
  <si>
    <t>C03.05.03</t>
  </si>
  <si>
    <t>基于问题优化流程 / 脚本 / 模板</t>
  </si>
  <si>
    <t>围绕一个重复问题优化操作流程、脚本或模板，提交优化前后对比和验证结果。</t>
  </si>
  <si>
    <t>C03.05.04</t>
  </si>
  <si>
    <t>共性问题归纳与预防措施</t>
  </si>
  <si>
    <t>归纳一类共性问题，输出原因分类、预防措施、检查清单和责任边界建议。</t>
  </si>
  <si>
    <t>C03.05.05</t>
  </si>
  <si>
    <t>持续改进机制建设</t>
  </si>
  <si>
    <t>建立一个小型持续改进机制，例如问题收集、复盘、模板更新、检查清单和跟踪表。</t>
  </si>
  <si>
    <t>C03.06</t>
  </si>
  <si>
    <t>新工具 / 新技术试用与评估能力</t>
  </si>
  <si>
    <t>C03.06.01</t>
  </si>
  <si>
    <t>新工具 / 新技术信息收集</t>
  </si>
  <si>
    <t>C03-M001、C03-M002、C03-M003</t>
  </si>
  <si>
    <t>围绕指定新工具 / 新技术收集官方介绍、入门教程、案例和限制说明，提交资料清单。</t>
  </si>
  <si>
    <t>C03.06.02</t>
  </si>
  <si>
    <t>工具试用与基础体验报告</t>
  </si>
  <si>
    <t>C03-M002、C03-M010</t>
  </si>
  <si>
    <t>完成一个工具的安装、注册、基础功能试用，提交体验报告、截图和适用场景判断。</t>
  </si>
  <si>
    <t>C03.06.03</t>
  </si>
  <si>
    <t>功能对比与场景适配评估</t>
  </si>
  <si>
    <t>对比 2 个同类工具，按功能、成本、学习门槛、风险、可落地性输出评估表。</t>
  </si>
  <si>
    <t>C03.06.04</t>
  </si>
  <si>
    <t>小范围试点方案设计</t>
  </si>
  <si>
    <t>设计新工具 / 新技术试点方案，包含目标、范围、参与人、验证指标、风险和退出条件。</t>
  </si>
  <si>
    <t>C03.06.05</t>
  </si>
  <si>
    <t>试点复盘与引入建议</t>
  </si>
  <si>
    <t>C03-M006、C03-M012</t>
  </si>
  <si>
    <t>完成试点复盘，输出是否引入、适用场景、限制、培训要求和后续推广建议。</t>
  </si>
  <si>
    <t>C03.07</t>
  </si>
  <si>
    <t>经验分享与团队赋能能力</t>
  </si>
  <si>
    <t>C03.07.01</t>
  </si>
  <si>
    <t>学习成果小范围分享</t>
  </si>
  <si>
    <t>C03-M008、C03-M009</t>
  </si>
  <si>
    <t>完成一次 10–15 分钟小范围分享，提交分享提纲、演示材料和问题记录。</t>
  </si>
  <si>
    <t>C03.07.02</t>
  </si>
  <si>
    <t>实操演示与案例讲解</t>
  </si>
  <si>
    <t>基于一个 Demo 或项目案例进行演示讲解，提交演示脚本、案例材料和答疑记录。</t>
  </si>
  <si>
    <t>C03.07.03</t>
  </si>
  <si>
    <t>培训材料与课程设计</t>
  </si>
  <si>
    <t>设计一份 30–60 分钟培训材料，包含目标、对象、内容、实操任务和验收方式。</t>
  </si>
  <si>
    <t>C03.07.04</t>
  </si>
  <si>
    <t>专题培训组织与答疑</t>
  </si>
  <si>
    <t>组织一次专题培训或实操工作坊，提交签到 / 反馈、答疑记录和后续改进点。</t>
  </si>
  <si>
    <t>C03.07.05</t>
  </si>
  <si>
    <t>团队课程 / 案例库建设</t>
  </si>
  <si>
    <t>C03-M004、C03-M008</t>
  </si>
  <si>
    <t>围绕一个能力域建设课程目录或案例库，包含材料、实操、作业、验收和维护机制。</t>
  </si>
  <si>
    <t>C03.08</t>
  </si>
  <si>
    <t>创新应用与方法沉淀能力</t>
  </si>
  <si>
    <t>C03.08.01</t>
  </si>
  <si>
    <t>局部效率改进点识别</t>
  </si>
  <si>
    <t>C03-M006、C03-M010</t>
  </si>
  <si>
    <t>识别一个低效环节，说明现状、影响、改进思路和预期收益，提交改进建议。</t>
  </si>
  <si>
    <t>C03.08.02</t>
  </si>
  <si>
    <t>新方法在任务中的试用</t>
  </si>
  <si>
    <t>将新工具、新模板、新流程用于一次实际任务，提交应用结果和前后对比。</t>
  </si>
  <si>
    <t>C03.08.03</t>
  </si>
  <si>
    <t>工具化 / 模板化改进输出</t>
  </si>
  <si>
    <t>把重复工作沉淀为脚本、模板、检查清单或操作流程，提交可复用产物和使用说明。</t>
  </si>
  <si>
    <t>C03.08.04</t>
  </si>
  <si>
    <t>创新应用场景试点</t>
  </si>
  <si>
    <t>设计并完成一个创新应用试点，提交试点目标、执行过程、结果数据、风险和改进建议。</t>
  </si>
  <si>
    <t>C03.08.05</t>
  </si>
  <si>
    <t>方法论、标准与案例沉淀</t>
  </si>
  <si>
    <t>C03-M006、C03-M008、C03-M012</t>
  </si>
  <si>
    <t>将多次实践沉淀为方法论、标准模板、标杆案例或内部培训材料，并推动复用。</t>
  </si>
  <si>
    <t>计划编号</t>
  </si>
  <si>
    <t>季度</t>
  </si>
  <si>
    <t>能力编码</t>
  </si>
  <si>
    <t>当前掌握度</t>
  </si>
  <si>
    <t>目标掌握度</t>
  </si>
  <si>
    <t>学习任务 / 实操内容</t>
  </si>
  <si>
    <t>计划开始</t>
  </si>
  <si>
    <t>计划截止</t>
  </si>
  <si>
    <t>状态</t>
  </si>
  <si>
    <t>证据链接 / 文件</t>
  </si>
  <si>
    <t>复盘结论</t>
  </si>
  <si>
    <t>年度计划状态</t>
  </si>
  <si>
    <t>执行状态</t>
  </si>
  <si>
    <t>实际开始</t>
  </si>
  <si>
    <t>实际完成</t>
  </si>
  <si>
    <t>完成质量</t>
  </si>
  <si>
    <t>下步动作</t>
  </si>
  <si>
    <t>计划项数</t>
  </si>
  <si>
    <t>已完成数</t>
  </si>
  <si>
    <t>主要产出</t>
  </si>
  <si>
    <t>主要问题</t>
  </si>
  <si>
    <t>下月重点</t>
  </si>
  <si>
    <t>材料编码</t>
  </si>
  <si>
    <t>材料名称</t>
  </si>
  <si>
    <t>材料类型</t>
  </si>
  <si>
    <t>材料来源 / 附件名</t>
  </si>
  <si>
    <t>用途说明</t>
  </si>
  <si>
    <t>材料状态</t>
  </si>
  <si>
    <t>产品体系材料</t>
  </si>
  <si>
    <t>产品/项目材料</t>
  </si>
  <si>
    <t>TDC、TDH、ArgoDB、TDS 产品介绍、官网资料、项目方案、大赛材料</t>
  </si>
  <si>
    <t>用于理解 TDC、TDH、ArgoDB、TDS 产品定位、能力边界、产品组合关系和典型客户场景；支撑产品体系认知、选型判断和方案表达。</t>
  </si>
  <si>
    <t>已提供附件 / 官网与项目材料，建议定期更新</t>
  </si>
  <si>
    <t>TDH 部署 / 运维材料</t>
  </si>
  <si>
    <t>部署/运维手册</t>
  </si>
  <si>
    <t>TDH 部署手册、TDH 安装部署大赛材料、TDH 运维手册</t>
  </si>
  <si>
    <t>用于 TDH 环境检查、标准部署、组件验证、Manager 使用、HDFS / YARN / ZK / Kafka 等组件认知和基础运维训练。</t>
  </si>
  <si>
    <t>已提供附件</t>
  </si>
  <si>
    <t>TDC 部署 / 租户材料</t>
  </si>
  <si>
    <t>部署/租户材料</t>
  </si>
  <si>
    <t>TDC 部署手册、TDC 安装部署大赛材料、TDC 租户与产品部署运维材料</t>
  </si>
  <si>
    <t>用于 TDC 标准部署、租户配置、产品纳管、资源隔离、应用上架和多租户平台能力训练。</t>
  </si>
  <si>
    <t>ArgoDB 材料</t>
  </si>
  <si>
    <t>产品使用/性能材料</t>
  </si>
  <si>
    <t>ArgoDB 快速入门、ArgoDB 6.1 新功能材料</t>
  </si>
  <si>
    <t>用于 ArgoDB 安装连接、建库建表、分区分桶、批量 / 实时写入、SQL 优化、实时湖仓和性能验证训练。</t>
  </si>
  <si>
    <t>TDS 数据开发材料</t>
  </si>
  <si>
    <t>数据开发材料</t>
  </si>
  <si>
    <t>TDS 数据开发快速入门、TDS 推广介绍</t>
  </si>
  <si>
    <t>用于 TDS 数据源配置、数据同步、SQLBook、Workflow、Transporter、脱敏任务和数据开发流程训练。</t>
  </si>
  <si>
    <t>TDS 数据治理材料</t>
  </si>
  <si>
    <t>数据治理材料</t>
  </si>
  <si>
    <t>TDS 数据治理快速入门</t>
  </si>
  <si>
    <t>用于 TDS 数据治理能力训练，包括元数据、血缘、数据标准、质量规则、落标检查、分类分级和治理任务运维。</t>
  </si>
  <si>
    <t>数仓 / 湖仓材料</t>
  </si>
  <si>
    <t>建模/湖仓材料</t>
  </si>
  <si>
    <t>TDC 大赛湖仓方案、ArgoDB 实时湖仓材料、TDS 建模章节</t>
  </si>
  <si>
    <t>用于数仓 / 湖仓建模、ODS/DWD/DWS/ADS 分层、T+0/T+1 数据流转、湖仓一体和数据共享方案训练。</t>
  </si>
  <si>
    <t>数据集成与实时同步材料</t>
  </si>
  <si>
    <t>数据集成/POC材料</t>
  </si>
  <si>
    <t>南京医药实时同步工具 POC、TDS Transporter、CDC / DDL / 一致性验证材料</t>
  </si>
  <si>
    <t>用于批量同步、增量同步、CDC、DDL 变更、数据一致性校验和实时同步 POC 验证训练。</t>
  </si>
  <si>
    <t>资源规划 / 性能 / 稳定性材料</t>
  </si>
  <si>
    <t>性能/稳定性材料</t>
  </si>
  <si>
    <t>TDH / TDC 部署手册、大赛验证报告、ArgoDB 性能材料</t>
  </si>
  <si>
    <t>用于资源规划、容量估算、性能验证、扩缩容、高可用、巡检、压测和稳定性基础训练。</t>
  </si>
  <si>
    <t>P01-M010</t>
  </si>
  <si>
    <t>数据安全 / 权限 / 合规材料</t>
  </si>
  <si>
    <t>安全/权限材料</t>
  </si>
  <si>
    <t>TDS 权限、分类分级、脱敏、TDC 租户隔离、TDH Kerberos / Guardian 等材料</t>
  </si>
  <si>
    <t>用于账号角色、租户隔离、库表权限、分类分级、脱敏、审计、数据共享审批和合规检查训练。</t>
  </si>
  <si>
    <t>P01-M011</t>
  </si>
  <si>
    <t>Data Infra 项目案例 / POC / 复盘材料</t>
  </si>
  <si>
    <t>项目案例/复盘材料</t>
  </si>
  <si>
    <t>内部项目方案、POC 材料、客户案例、项目复盘、问题处理案例</t>
  </si>
  <si>
    <t>用于支撑 Data Infra 场景适配、方案验证、经验沉淀和高阶方法论输出；建议按项目沉淀方案、验证过程、问题清单和复盘结论。</t>
  </si>
  <si>
    <t>内部待补 / 项目沉淀</t>
  </si>
  <si>
    <t>P02-M001</t>
  </si>
  <si>
    <t>LLMOps 产品体系 / 算力 / 模型 / 代码培训材料</t>
  </si>
  <si>
    <t>产品培训材料</t>
  </si>
  <si>
    <t>LLMOps2产品培训-算力&amp;模型&amp;代码.pptx</t>
  </si>
  <si>
    <t>用于理解 LLMOps 的 AI Infra 定位、算力、模型、代码开发、语料、知识、应用和企业级 AI 底座能力。</t>
  </si>
  <si>
    <t>LLMOps 部署 / 运维材料</t>
  </si>
  <si>
    <t>Sophon LLMOps 2.x.x + TDC 5.2.x 安装文档(k8s133).pdf</t>
  </si>
  <si>
    <t>用于 LLMOps + TDC 标准部署、环境检查、GPU / 存储 / K8s / 容器 / registry / HIPPO / license 和装后验证训练。</t>
  </si>
  <si>
    <t>LLMOps 产品使用手册</t>
  </si>
  <si>
    <t>产品使用手册</t>
  </si>
  <si>
    <t>Transwarp Sophon LLMOps产品使用手册.pdf</t>
  </si>
  <si>
    <t>用于 LLMOps 平台使用、模型管理、算力管理、代码开发、语料处理、知识库、RAG、Agent / 应用链和应用发布训练。</t>
  </si>
  <si>
    <t>P02-M004</t>
  </si>
  <si>
    <t>问数产品使用手册</t>
  </si>
  <si>
    <t>问数_使用手册.pdf</t>
  </si>
  <si>
    <t>用于问数平台使用、数据准备、语义建模、智能问答、指标问答、知识问答、可视化和场景配置训练。</t>
  </si>
  <si>
    <t>P02-M005</t>
  </si>
  <si>
    <t>问数 POC / 验证案例</t>
  </si>
  <si>
    <t>POC/验证案例</t>
  </si>
  <si>
    <t>问数POC测试案例.pdf</t>
  </si>
  <si>
    <t>用于问数 POC 测试设计、问题集构造、查询范围、提示词、模型服务切换、NL2SQL / NL2INDEX 和结果一致性验证。</t>
  </si>
  <si>
    <t>问数安装部署材料</t>
  </si>
  <si>
    <t>问数安装部署文档.pdf</t>
  </si>
  <si>
    <t>用于问数部署、TDH / TDS 依赖、Solar 服务、向量模型、大模型服务接入、服务状态和基础连通性验证。</t>
  </si>
  <si>
    <t>P02-M007</t>
  </si>
  <si>
    <t>问数产品培训 / 方案材料</t>
  </si>
  <si>
    <t>产品培训/方案材料</t>
  </si>
  <si>
    <t>问数培训材料2026Q1.pdf</t>
  </si>
  <si>
    <t>用于理解问数产品架构、系统模块、工具市场、BaopsAgent / SolarAgent、NL2SQL / NL2INDEX、洞察报告和智能分析场景。</t>
  </si>
  <si>
    <t>Prompt / Context Engineering 与 AI Coding 方法材料（待补充）</t>
  </si>
  <si>
    <t>方法论/工具材料</t>
  </si>
  <si>
    <t>内部 Prompt 模板、Context Engineering 方法、SDD / TDD / BDD / Eval-driven / Agentic Coding、AI Code Review 清单、主流 AI Coding 工具试用材料</t>
  </si>
  <si>
    <t>用于 Prompt / Context Engineering、SDD、TDD、BDD、Eval-driven、Agentic Coding、AI Code Review 和主流 AI Coding 工具训练。</t>
  </si>
  <si>
    <t>内部待补</t>
  </si>
  <si>
    <t>P02-M009</t>
  </si>
  <si>
    <t>AI 生产力与 Agent 工具材料（待补充）</t>
  </si>
  <si>
    <t>生产力/Agent材料</t>
  </si>
  <si>
    <t>OpenClaw / Hermes Agent 使用说明、浏览器 Agent、办公 Agent、MCP / API / Tool Calling、知识检索、资料归纳、项目交付自动化案例</t>
  </si>
  <si>
    <t>用于 OpenClaw、Hermes Agent、浏览器 Agent、办公 Agent、MCP / API / Tool Calling、知识检索和项目交付自动化训练。</t>
  </si>
  <si>
    <t>P02-M010</t>
  </si>
  <si>
    <t>多模态与 AIGC 材料（待补充）</t>
  </si>
  <si>
    <t>多模态/AIGC材料</t>
  </si>
  <si>
    <t>生图工具案例、图像理解 / OCR / 截图解析、文档 / 表格 / 图表识别、音频理解与生成、视频理解与生成辅助、多模态质量风险控制材料</t>
  </si>
  <si>
    <t>用于图像理解与生成、文档/表格/图表识别、音频理解与生成、视频理解与生成辅助、多模态质量与风险控制训练。</t>
  </si>
  <si>
    <t>P02-M011</t>
  </si>
  <si>
    <t>AI 应用案例 / 场景复盘材料（待补充）</t>
  </si>
  <si>
    <t>案例/复盘材料</t>
  </si>
  <si>
    <t>LLMOps / 问数 / Agent / 多模态相关项目案例、POC 汇报、客户反馈、失败案例、优化记录、最佳实践</t>
  </si>
  <si>
    <t>用于 LLMOps、问数、Agent、多模态相关项目案例、POC 汇报、客户反馈、失败案例、优化记录和最佳实践沉淀。</t>
  </si>
  <si>
    <t>P03-M001</t>
  </si>
  <si>
    <t>SQLZoo SQL Tutorial</t>
  </si>
  <si>
    <t>在线练习题</t>
  </si>
  <si>
    <t>https://www.sqlzoo.net/wiki/SQL_Tutorial</t>
  </si>
  <si>
    <t>SQL 入门、基础语法、JOIN、聚合等练习。</t>
  </si>
  <si>
    <t>外部公开材料（建议定期核验链接）</t>
  </si>
  <si>
    <t>P03-M002</t>
  </si>
  <si>
    <t>HackerRank SQL Practice</t>
  </si>
  <si>
    <t>https://www.hackerrank.com/domains/sql</t>
  </si>
  <si>
    <t>SQL Basic / Intermediate / Advanced 分阶段练习。</t>
  </si>
  <si>
    <t>P03-M003</t>
  </si>
  <si>
    <t>LeetCode SQL 50</t>
  </si>
  <si>
    <t>https://leetcode.com/studyplan/top-sql-50/</t>
  </si>
  <si>
    <t>复杂查询、窗口函数、业务分析类 SQL 训练。</t>
  </si>
  <si>
    <t>P03-M004</t>
  </si>
  <si>
    <t>Mode SQL Tutorial</t>
  </si>
  <si>
    <t>在线教程 / 实操</t>
  </si>
  <si>
    <t>https://mode.com/sql-tutorial/sql-in-mode/index.html</t>
  </si>
  <si>
    <t>数据分析场景 SQL 实操训练。</t>
  </si>
  <si>
    <t>P03-M005</t>
  </si>
  <si>
    <t>PostgreSQL SQL Tutorial</t>
  </si>
  <si>
    <t>官方文档</t>
  </si>
  <si>
    <t>https://www.postgresql.org/docs/current/tutorial-sql.html</t>
  </si>
  <si>
    <t>SQL 语言基础、表操作、查询、JOIN、聚合等。</t>
  </si>
  <si>
    <t>PostgreSQL Using EXPLAIN</t>
  </si>
  <si>
    <t>https://www.postgresql.org/docs/current/using-explain.html</t>
  </si>
  <si>
    <t>SQL 执行计划、性能分析、调优方法。</t>
  </si>
  <si>
    <t>Python Tutorial</t>
  </si>
  <si>
    <t>https://docs.python.org/3/tutorial/</t>
  </si>
  <si>
    <t>Python 基础语法、数据结构、模块、输入输出等。</t>
  </si>
  <si>
    <t>P03-M008</t>
  </si>
  <si>
    <t>Python re Regular Expression Documentation</t>
  </si>
  <si>
    <t>https://docs.python.org/3/library/re.html</t>
  </si>
  <si>
    <t>正则表达式匹配、提取、替换、校验。</t>
  </si>
  <si>
    <t>Python logging Documentation / HOWTO</t>
  </si>
  <si>
    <t>https://docs.python.org/3/howto/logging.html</t>
  </si>
  <si>
    <t>日志规范、问题定位、异常记录、可观测性基础。</t>
  </si>
  <si>
    <t>P03-M010</t>
  </si>
  <si>
    <t>Python concurrent.futures</t>
  </si>
  <si>
    <t>https://docs.python.org/3/library/concurrent.futures.html</t>
  </si>
  <si>
    <t>线程池、进程池、高层并发任务执行。</t>
  </si>
  <si>
    <t>P03-M011</t>
  </si>
  <si>
    <t>Python asyncio</t>
  </si>
  <si>
    <t>https://docs.python.org/3/library/asyncio.html</t>
  </si>
  <si>
    <t>异步 IO、协程、事件循环。</t>
  </si>
  <si>
    <t>P03-M012</t>
  </si>
  <si>
    <t>Python multiprocessing</t>
  </si>
  <si>
    <t>https://docs.python.org/3/library/multiprocessing.html</t>
  </si>
  <si>
    <t>进程级并行处理。</t>
  </si>
  <si>
    <t>pytest Documentation</t>
  </si>
  <si>
    <t>https://docs.pytest.org/en/stable/contents.html</t>
  </si>
  <si>
    <t>单元测试、集成测试、fixtures、参数化测试。</t>
  </si>
  <si>
    <t>P03-M014</t>
  </si>
  <si>
    <t>Google Shell Style Guide</t>
  </si>
  <si>
    <t>公开风格指南</t>
  </si>
  <si>
    <t>https://google.github.io/styleguide/shellguide.html</t>
  </si>
  <si>
    <t>Shell 脚本命名、结构、可维护性、错误处理。</t>
  </si>
  <si>
    <t>P03-M015</t>
  </si>
  <si>
    <t>FastAPI Tutorial</t>
  </si>
  <si>
    <t>https://fastapi.tiangolo.com/tutorial/</t>
  </si>
  <si>
    <t>Python API 服务开发、参数、响应、错误处理、集成。</t>
  </si>
  <si>
    <t>P03-M016</t>
  </si>
  <si>
    <t>Spring Building a RESTful Web Service</t>
  </si>
  <si>
    <t>官方教程</t>
  </si>
  <si>
    <t>https://spring.io/guides/gs/rest-service</t>
  </si>
  <si>
    <t>Java / Spring Boot REST 服务开发。</t>
  </si>
  <si>
    <t>P03-M017</t>
  </si>
  <si>
    <t>A Tour of Go - Concurrency</t>
  </si>
  <si>
    <t>https://go.dev/tour/concurrency</t>
  </si>
  <si>
    <t>Go goroutine、channel、select 等并发基础。</t>
  </si>
  <si>
    <t>P03-M018</t>
  </si>
  <si>
    <t>Go net/http Documentation</t>
  </si>
  <si>
    <t>https://pkg.go.dev/net/http</t>
  </si>
  <si>
    <t>Go HTTP client / server 开发。</t>
  </si>
  <si>
    <t>P03-M019</t>
  </si>
  <si>
    <t>Oracle Java Concurrency Tutorial</t>
  </si>
  <si>
    <t>https://docs.oracle.com/javase/tutorial/essential/concurrency/index.html</t>
  </si>
  <si>
    <t>Java 线程、同步、并发 API 基础。</t>
  </si>
  <si>
    <t>Pro Git Book</t>
  </si>
  <si>
    <t>官方书籍</t>
  </si>
  <si>
    <t>https://git-scm.com/book/en/v2</t>
  </si>
  <si>
    <t>Git 基础、分支、协作、工作流、工具。</t>
  </si>
  <si>
    <t>OWASP API Security Top 10 2023</t>
  </si>
  <si>
    <t>安全指南</t>
  </si>
  <si>
    <t>https://owasp.org/API-Security/editions/2023/en/0x11-t10/</t>
  </si>
  <si>
    <t>API 安全风险、鉴权、越权、敏感数据暴露等。</t>
  </si>
  <si>
    <t>P03-M022</t>
  </si>
  <si>
    <t>Go Concurrency Patterns: Pipelines and cancellation</t>
  </si>
  <si>
    <t>官方博客</t>
  </si>
  <si>
    <t>https://go.dev/blog/pipelines</t>
  </si>
  <si>
    <t>Go pipeline、取消、并发处理模式。</t>
  </si>
  <si>
    <t>P03-M023</t>
  </si>
  <si>
    <t>Go Concurrency Patterns: Context</t>
  </si>
  <si>
    <t>https://go.dev/blog/context</t>
  </si>
  <si>
    <t>Go context、取消、超时、跨 API 边界传递上下文。</t>
  </si>
  <si>
    <t>P03-M024</t>
  </si>
  <si>
    <t>团队现有代码库 / 项目案例 / 缺陷记录</t>
  </si>
  <si>
    <t>内部材料</t>
  </si>
  <si>
    <t>真实代码评审、问题定位、重构、质量治理。</t>
  </si>
  <si>
    <t>内部材料 / 项目沉淀</t>
  </si>
  <si>
    <t>P03-M025</t>
  </si>
  <si>
    <t>团队脚本库 / 工具库 / 模板库</t>
  </si>
  <si>
    <t>代码资产沉淀、工具化、复用推广。</t>
  </si>
  <si>
    <t>P03-M026</t>
  </si>
  <si>
    <t>Regex101</t>
  </si>
  <si>
    <t>在线工具</t>
  </si>
  <si>
    <t>https://regex101.com/</t>
  </si>
  <si>
    <t>正则表达式调试、测试、解释。</t>
  </si>
  <si>
    <t>C01-M001</t>
  </si>
  <si>
    <t>Microsoft Office 帮助和培训</t>
  </si>
  <si>
    <t>官方中文帮助 / 培训入口</t>
  </si>
  <si>
    <t>https://support.microsoft.com/zh-cn/office</t>
  </si>
  <si>
    <t>用于 Office 基础工具总览；建议按 Word、Excel、PowerPoint 逐项完成官方操作文章中的练习。</t>
  </si>
  <si>
    <t>已验证（中文）</t>
  </si>
  <si>
    <t>C01-M002</t>
  </si>
  <si>
    <t>Word 新用户指南</t>
  </si>
  <si>
    <t>官方中文入门教程</t>
  </si>
  <si>
    <t>https://support.microsoft.com/zh-cn/office/word-%E6%96%B0%E7%94%A8%E6%88%B7%E6%8C%87%E5%8D%97-cace0fd8-eed9-4aa2-b3c6-07d39895886c</t>
  </si>
  <si>
    <t>按指南完成新建文档、保存、基础编辑、段落格式等练习；输出一份规范化会议纪要或操作记录。</t>
  </si>
  <si>
    <t>WPS 学堂</t>
  </si>
  <si>
    <t>官方中文视频课程</t>
  </si>
  <si>
    <t>https://www.wps.cn/learning/</t>
  </si>
  <si>
    <t>按 WPS 文字、表格、演示的新手/技巧课程完成练习；输出一份文档、一份数据表和一份 5 页汇报 PPT。</t>
  </si>
  <si>
    <t>C01-M004</t>
  </si>
  <si>
    <t>Excel 中的基本任务</t>
  </si>
  <si>
    <t>官方中文操作教程</t>
  </si>
  <si>
    <t>https://support.microsoft.com/zh-cn/office/excel-%E4%B8%AD%E7%9A%84%E5%9F%BA%E6%9C%AC%E4%BB%BB%E5%8A%A1-dc775dd1-fa52-430f-9c3c-d998d1735fca</t>
  </si>
  <si>
    <t>完成录入、格式化、计算、快速分析等基础练习；输出一份问题台账或任务跟踪表。</t>
  </si>
  <si>
    <t>Excel 函数（按类别列出）</t>
  </si>
  <si>
    <t>官方中文函数参考</t>
  </si>
  <si>
    <t>https://support.microsoft.com/zh-cn/office/excel-%E5%87%BD%E6%95%B0-%E6%8C%89%E7%B1%BB%E5%88%AB%E5%88%97%E5%87%BA-5f91f4e9-7b42-46d2-9bd1-63f26a86c0eb</t>
  </si>
  <si>
    <t>围绕 SUMIFS、COUNTIFS、XLOOKUP/VLOOKUP、TEXT、DATE、IF 等常用函数做练习；输出函数练习表和结果说明。</t>
  </si>
  <si>
    <t>C01-M006</t>
  </si>
  <si>
    <t>Power Query 文档</t>
  </si>
  <si>
    <t>官方中文文档</t>
  </si>
  <si>
    <t>https://learn.microsoft.com/zh-cn/power-query/</t>
  </si>
  <si>
    <t>完成一次数据连接、清洗、合并、加载的实操；输出 Power Query 步骤截图和清洗前后对比表。</t>
  </si>
  <si>
    <t>C01-M007</t>
  </si>
  <si>
    <t>PowerPoint 帮助和学习</t>
  </si>
  <si>
    <t>官方中文帮助 / 学习中心</t>
  </si>
  <si>
    <t>https://support.microsoft.com/zh-cn/powerpoint</t>
  </si>
  <si>
    <t>按教程完成模板套用、图文排版、图表插入、演示设置；输出一份项目进展或培训材料 PPT。</t>
  </si>
  <si>
    <t>C01-M008</t>
  </si>
  <si>
    <t>OneDrive 帮助和学习</t>
  </si>
  <si>
    <t>官方中文帮助中心</t>
  </si>
  <si>
    <t>https://support.microsoft.com/zh-cn/onedrive</t>
  </si>
  <si>
    <t>完成文件上传、共享、同步、版本恢复等练习；输出一份项目资料目录和共享权限说明。</t>
  </si>
  <si>
    <t>SharePoint 视频培训</t>
  </si>
  <si>
    <t>官方中文培训</t>
  </si>
  <si>
    <t>https://support.microsoft.com/zh-cn/office/sharepoint-%E8%A7%86%E9%A2%91%E5%9F%B9%E8%AE%AD-cb8ef501-84db-4427-ac77-ec2009fb8e23</t>
  </si>
  <si>
    <t>学习文档库、共享、团队网站等内容；输出项目资料库结构、权限方案和归档清单。</t>
  </si>
  <si>
    <t>C01-M010</t>
  </si>
  <si>
    <t>Google Workspace 学习中心</t>
  </si>
  <si>
    <t>官方中文学习中心</t>
  </si>
  <si>
    <t>https://support.google.com/a/users/?hl=zh-Hans</t>
  </si>
  <si>
    <t>按文档、表格、幻灯片、云端硬盘模块完成在线协作练习；输出协作文档、共享权限和修订记录。</t>
  </si>
  <si>
    <t>C01-M011</t>
  </si>
  <si>
    <t>ProcessOn 使用手册</t>
  </si>
  <si>
    <t>中文工具手册</t>
  </si>
  <si>
    <t>https://www.processon.com/support</t>
  </si>
  <si>
    <t>完成流程图、思维导图、组织结构图等绘制；输出一个业务流程图或部署流程图。</t>
  </si>
  <si>
    <t>C01-M012</t>
  </si>
  <si>
    <t>ProcessOn 新手入门指南</t>
  </si>
  <si>
    <t>中文实操教程</t>
  </si>
  <si>
    <t>https://www.processon.com/knowledge/xinshourumen</t>
  </si>
  <si>
    <t>按指南完成一次在线作图；输出一个任务拆解脑图或问题排查流程图。</t>
  </si>
  <si>
    <t>Xmind 用户手册</t>
  </si>
  <si>
    <t>https://xmind.cn/user-guide</t>
  </si>
  <si>
    <t>完成脑图创建、层级整理、导出等练习；输出一张学习路径脑图或项目任务分解图。</t>
  </si>
  <si>
    <t>Microsoft 365 Copilot 帮助和学习</t>
  </si>
  <si>
    <t>官方中文 AI 办公学习中心</t>
  </si>
  <si>
    <t>https://support.microsoft.com/zh-cn/microsoft-365-copilot</t>
  </si>
  <si>
    <t>学习 Copilot 在 Word、Excel、PowerPoint、Teams 等场景中的用法；输出 AI 辅助生成的文档/PPT/表格并附人工校验记录。</t>
  </si>
  <si>
    <t>C01-M015</t>
  </si>
  <si>
    <t>Adobe Acrobat 桌面帮助</t>
  </si>
  <si>
    <t>https://helpx.adobe.com/cn/acrobat/desktop.html</t>
  </si>
  <si>
    <t>完成 PDF 合并、注释、页面整理、导出、签名等交付材料处理；输出一份整理后的 PDF 交付包。</t>
  </si>
  <si>
    <t>C01-M016</t>
  </si>
  <si>
    <t>ChatGPT 帮助中心</t>
  </si>
  <si>
    <t>官方帮助中心（英文为主）</t>
  </si>
  <si>
    <t>https://help.openai.com/en/collections/3742473-chatgpt</t>
  </si>
  <si>
    <t>用于补充 ChatGPT 文件分析、写作辅助、资料总结等功能；输出一次 AI 办公任务的输入、提示词、结果和校验记录。</t>
  </si>
  <si>
    <t>已验证（英文，补充）</t>
  </si>
  <si>
    <t>C01-M017</t>
  </si>
  <si>
    <t>Mermaid 官方文档</t>
  </si>
  <si>
    <t>官方文档（英文）</t>
  </si>
  <si>
    <t>https://mermaid.js.org/</t>
  </si>
  <si>
    <t>用于技术图示的文本化绘制；输出一个流程图或时序图代码与渲染图。</t>
  </si>
  <si>
    <t>已验证（英文，可选）</t>
  </si>
  <si>
    <t>C01-M018</t>
  </si>
  <si>
    <t>内部文档模板与交付清单</t>
  </si>
  <si>
    <t>内部模板库 / 项目沉淀</t>
  </si>
  <si>
    <t>按内部模板输出会议纪要、操作手册、部署记录、POC 报告、验收材料和归档清单。</t>
  </si>
  <si>
    <t>C01-M019</t>
  </si>
  <si>
    <t>内部 PPT 模板与图示素材库</t>
  </si>
  <si>
    <t>内部模板库 / 品牌规范</t>
  </si>
  <si>
    <t>按内部模板输出项目汇报 PPT、架构图、流程图和客户汇报材料。</t>
  </si>
  <si>
    <t>任务确认、进度反馈与闭环记录模板</t>
  </si>
  <si>
    <t>内部模板</t>
  </si>
  <si>
    <t>用于训练任务目标复述、边界确认、进度同步、阻塞反馈、闭环确认；建议配套 1 个真实任务完成完整记录。</t>
  </si>
  <si>
    <t>优先补充团队统一模板</t>
  </si>
  <si>
    <t>会议纪要与待办跟踪模板</t>
  </si>
  <si>
    <t>用于训练会前准备、会议记录、结论确认、待办跟踪；建议以真实会议为样例输出纪要和待办清单。</t>
  </si>
  <si>
    <t>需求澄清与验收标准确认模板</t>
  </si>
  <si>
    <t>用于训练业务背景、需求拆解、边界确认、验收标准、变更识别；建议基于 1 个模拟客户需求完成澄清表。</t>
  </si>
  <si>
    <t>问题反馈、复现与排障协同模板</t>
  </si>
  <si>
    <t>用于训练问题描述、证据收集、复现步骤、影响范围、定位过程、处理结论和复盘。</t>
  </si>
  <si>
    <t>客户沟通与现场汇报模板</t>
  </si>
  <si>
    <t>用于训练产品说明、问题说明、阶段汇报、客户异议回应；建议完成 1 次 5-10 分钟模拟汇报。</t>
  </si>
  <si>
    <t>跨角色协作清单与责任矩阵模板</t>
  </si>
  <si>
    <t>用于训练协作对象识别、事项拆解、责任人、输入输出、依赖关系和进度跟踪。</t>
  </si>
  <si>
    <t>可采用 RACI 风格</t>
  </si>
  <si>
    <t>风险升级与冲突处理记录模板</t>
  </si>
  <si>
    <t>用于训练风险识别、影响说明、升级路径、选项建议、决策记录和行动计划。</t>
  </si>
  <si>
    <t>建议沉淀典型案例</t>
  </si>
  <si>
    <t>C02-M008</t>
  </si>
  <si>
    <t>飞书会议任务督办模板</t>
  </si>
  <si>
    <t>中文模板</t>
  </si>
  <si>
    <t>https://www.feishu.cn/template/meeting-task-supervision</t>
  </si>
  <si>
    <t>参考会议议程、待办、任务追踪的模板结构，完成 1 份会议纪要和待办跟踪表。</t>
  </si>
  <si>
    <t>已核验可访问入口</t>
  </si>
  <si>
    <t>C02-M009</t>
  </si>
  <si>
    <t>飞书智能会议纪要</t>
  </si>
  <si>
    <t>中文工具说明</t>
  </si>
  <si>
    <t>https://www.feishu.cn/product/ai-meeting-summary</t>
  </si>
  <si>
    <t>用于学习 AI 会议纪要、结论和待办提取；可用真实或模拟会议录音进行纪要生成并人工校验。</t>
  </si>
  <si>
    <t>C02-M010</t>
  </si>
  <si>
    <t>Microsoft Teams 帮助和学习</t>
  </si>
  <si>
    <t>中文官方帮助</t>
  </si>
  <si>
    <t>https://support.microsoft.com/zh-cn/teams</t>
  </si>
  <si>
    <t>用于学习线上会议、聊天协作、文件共享和会议沟通；建议完成一次 Teams 会议组织、纪要和待办记录。</t>
  </si>
  <si>
    <t>微软官方中文入口</t>
  </si>
  <si>
    <t>C02-M011</t>
  </si>
  <si>
    <t>Atlassian Team Playbook 中文版</t>
  </si>
  <si>
    <t>中文团队协作实践</t>
  </si>
  <si>
    <t>https://www.atlassian.com/zh/team-playbook</t>
  </si>
  <si>
    <t>用于学习团队协作演练、会议机制、共识建设和冲突处理；建议选 1 个 play 做团队协作练习。</t>
  </si>
  <si>
    <t>Atlassian 官方中文入口</t>
  </si>
  <si>
    <t>C02-M012</t>
  </si>
  <si>
    <t>Atlassian 站会 Play</t>
  </si>
  <si>
    <t>https://www.atlassian.com/zh/team-playbook/plays/standups</t>
  </si>
  <si>
    <t>用于训练每日进度同步、阻塞反馈和短会节奏控制；建议按站会问题模板连续实践 1 周。</t>
  </si>
  <si>
    <t>C02-M013</t>
  </si>
  <si>
    <t>Google Workspace 用户学习中心</t>
  </si>
  <si>
    <t>中文官方学习中心</t>
  </si>
  <si>
    <t>用于学习 Docs、Sheets、Slides、Drive、Meet 等协作工具；建议完成共享文档协作和会议材料同步。</t>
  </si>
  <si>
    <t>Google 官方中文入口</t>
  </si>
  <si>
    <t>C02-M014</t>
  </si>
  <si>
    <t>腾讯文档多人协作工具</t>
  </si>
  <si>
    <t>中文官方入口</t>
  </si>
  <si>
    <t>https://docs.qq.com/</t>
  </si>
  <si>
    <t>用于训练协作文档、任务表、会议纪要、问题清单的在线协同；建议建立 1 个项目协作表并完成权限设置。</t>
  </si>
  <si>
    <t>官方入口</t>
  </si>
  <si>
    <t>C02-M015</t>
  </si>
  <si>
    <t>飞书：会议纪要如何写</t>
  </si>
  <si>
    <t>中文实操文章</t>
  </si>
  <si>
    <t>https://www.feishu.cn/content/article/7602953866866429153</t>
  </si>
  <si>
    <t>参考结构化会议纪要写法，完成一份包含背景、结论、待办、风险的会议纪要。</t>
  </si>
  <si>
    <t>Microsoft Learn 中文培训入口</t>
  </si>
  <si>
    <t>官方学习平台</t>
  </si>
  <si>
    <t>https://learn.microsoft.com/zh-cn/training/</t>
  </si>
  <si>
    <t>用于按学习路径和模块制定技术学习计划，适合做阶段性学习任务和实操跟踪。</t>
  </si>
  <si>
    <t>中文；官方；可操作</t>
  </si>
  <si>
    <t>C03-M002</t>
  </si>
  <si>
    <t>Microsoft Learn AI 学习中心</t>
  </si>
  <si>
    <t>https://learn.microsoft.com/zh-cn/ai/</t>
  </si>
  <si>
    <t>用于跟踪 AI 基础、Copilot、Agent、AI 工作负载等新方向，支撑新技术试用和评估。</t>
  </si>
  <si>
    <t>Google 搜索提示与技巧</t>
  </si>
  <si>
    <t>官方帮助</t>
  </si>
  <si>
    <t>https://support.google.com/websearch/answer/134479?hl=zh-Hans</t>
  </si>
  <si>
    <t>用于训练资料检索、关键词构造、结果筛选和高质量资料来源记录。</t>
  </si>
  <si>
    <t>中文；官方</t>
  </si>
  <si>
    <t>C03-M004</t>
  </si>
  <si>
    <t>飞书知识库成员使用指南</t>
  </si>
  <si>
    <t>https://www.feishu.cn/hc/zh-CN/articles/582922484818-%E7%9F%A5%E8%AF%86%E5%BA%93%E6%88%90%E5%91%98%E4%BD%BF%E7%94%A8%E6%8C%87%E5%8D%97</t>
  </si>
  <si>
    <t>用于学习如何检索、编写和沉淀团队知识，适合知识库条目、FAQ 和案例库训练。</t>
  </si>
  <si>
    <t>C03-M005</t>
  </si>
  <si>
    <t>飞书企业知识库管理</t>
  </si>
  <si>
    <t>https://www.feishu.cn/hc/zh-CN/articles/400603380471-%E7%AE%A1%E7%90%86%E4%BC%81%E4%B8%9A%E7%9F%A5%E8%AF%86%E5%BA%93</t>
  </si>
  <si>
    <t>用于学习知识库分类、权限、管理和运营机制，支撑团队知识沉淀。</t>
  </si>
  <si>
    <t>C03-M006</t>
  </si>
  <si>
    <t>Atlassian 冲刺回顾指南</t>
  </si>
  <si>
    <t>方法模板</t>
  </si>
  <si>
    <t>https://www.atlassian.com/zh/team-playbook/plays/retrospective</t>
  </si>
  <si>
    <t>用于复盘、持续改进和团队问题归纳，适合输出复盘报告和改进清单。</t>
  </si>
  <si>
    <t>中文；模板化</t>
  </si>
  <si>
    <t>C03-M007</t>
  </si>
  <si>
    <t>方法库</t>
  </si>
  <si>
    <t>用于团队协作、复盘、共识建设、问题改进和工作坊设计。</t>
  </si>
  <si>
    <t>C03-M008</t>
  </si>
  <si>
    <t>Microsoft PowerPoint 帮助与学习</t>
  </si>
  <si>
    <t>用于制作经验分享、培训课件、Demo 讲解和内部课程材料。</t>
  </si>
  <si>
    <t>C03-M009</t>
  </si>
  <si>
    <t>Microsoft Teams 帮助与学习</t>
  </si>
  <si>
    <t>用于线上分享、培训组织、会议答疑和学习小组协作。</t>
  </si>
  <si>
    <t>内部待补：Demo 验证模板</t>
  </si>
  <si>
    <t>用于统一 Demo 验证输出，包括目标、环境、步骤、数据、结果、截图、问题和结论。</t>
  </si>
  <si>
    <t>建议由团队维护</t>
  </si>
  <si>
    <t>C03-M011</t>
  </si>
  <si>
    <t>内部待补：个人学习计划与进度跟踪模板</t>
  </si>
  <si>
    <t>用于记录学习目标、材料、实操任务、输出物、截止时间、完成状态和复盘。</t>
  </si>
  <si>
    <t>C03-M012</t>
  </si>
  <si>
    <t>内部待补：新工具 / 新技术评估表</t>
  </si>
  <si>
    <t>用于评估新工具的功能、成本、风险、适用场景、验证结果和引入建议。</t>
  </si>
  <si>
    <t>C03-M013</t>
  </si>
  <si>
    <t>内部待补：问题复盘与 FAQ 模板</t>
  </si>
  <si>
    <t>用于沉淀问题现象、原因、处理步骤、预防措施、相关材料和责任边界。</t>
  </si>
  <si>
    <t>含义</t>
  </si>
  <si>
    <t>高</t>
  </si>
  <si>
    <t>是</t>
  </si>
  <si>
    <t>Q1</t>
  </si>
  <si>
    <t>中</t>
  </si>
  <si>
    <t>否</t>
  </si>
  <si>
    <t>Q2</t>
  </si>
  <si>
    <t>进行中</t>
  </si>
  <si>
    <t>低</t>
  </si>
  <si>
    <t>Q3</t>
  </si>
  <si>
    <t>暂缓</t>
  </si>
  <si>
    <t>Q4</t>
  </si>
  <si>
    <t>延期</t>
  </si>
  <si>
    <t>暂停</t>
  </si>
  <si>
    <t>取消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</si>
</sst>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name val="Carlito"/>
    </font>
    <font>
      <b/>
      <sz val="16"/>
      <color rgb="FF1F4E79"/>
      <name val="微软雅黑"/>
      <family val="2"/>
      <charset val="134"/>
    </font>
    <font>
      <b/>
      <sz val="11"/>
      <color rgb="FF1F2937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b/>
      <sz val="11"/>
      <color rgb="FFFFFFFF"/>
      <name val="Carlito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sz val="10"/>
      <color rgb="FF1F4E79"/>
      <name val="微软雅黑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64748B"/>
      </patternFill>
    </fill>
    <fill>
      <patternFill patternType="solid">
        <fgColor rgb="FF1F4E79"/>
      </patternFill>
    </fill>
    <fill>
      <patternFill patternType="solid">
        <fgColor rgb="FFF2F6FA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3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4" fillId="3" borderId="0" xfId="1" applyFont="1" applyFill="1" applyAlignment="1">
      <alignment horizontal="center" vertical="center" wrapText="1"/>
    </xf>
    <xf numFmtId="176" fontId="3" fillId="0" borderId="0" xfId="1" applyNumberFormat="1" applyFont="1" applyAlignment="1">
      <alignment vertical="center" wrapText="1"/>
    </xf>
    <xf numFmtId="9" fontId="3" fillId="0" borderId="0" xfId="1" applyNumberFormat="1" applyFont="1" applyAlignment="1">
      <alignment vertical="center" wrapText="1"/>
    </xf>
    <xf numFmtId="0" fontId="5" fillId="4" borderId="0" xfId="1" applyFont="1" applyFill="1" applyAlignment="1">
      <alignment horizontal="center" vertical="center"/>
    </xf>
    <xf numFmtId="9" fontId="5" fillId="4" borderId="0" xfId="1" applyNumberFormat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6" fillId="5" borderId="0" xfId="1" applyFont="1" applyFill="1"/>
    <xf numFmtId="0" fontId="4" fillId="6" borderId="0" xfId="1" applyFont="1" applyFill="1" applyAlignment="1">
      <alignment horizontal="center" vertical="center" wrapText="1"/>
    </xf>
    <xf numFmtId="0" fontId="3" fillId="7" borderId="0" xfId="1" applyFont="1" applyFill="1" applyAlignment="1">
      <alignment vertical="center" wrapText="1"/>
    </xf>
    <xf numFmtId="176" fontId="3" fillId="7" borderId="0" xfId="1" applyNumberFormat="1" applyFont="1" applyFill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0" fillId="8" borderId="0" xfId="1" applyFont="1" applyFill="1" applyAlignment="1">
      <alignment vertical="center" wrapText="1"/>
    </xf>
    <xf numFmtId="2" fontId="3" fillId="0" borderId="0" xfId="1" applyNumberFormat="1" applyFont="1" applyAlignment="1">
      <alignment vertical="center" wrapText="1"/>
    </xf>
    <xf numFmtId="0" fontId="7" fillId="2" borderId="0" xfId="1" applyFont="1" applyFill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7" fillId="11" borderId="0" xfId="1" applyFont="1" applyFill="1" applyAlignment="1">
      <alignment horizontal="center" vertical="center" wrapText="1"/>
    </xf>
    <xf numFmtId="0" fontId="8" fillId="12" borderId="0" xfId="1" applyFont="1" applyFill="1" applyAlignment="1">
      <alignment vertical="center" wrapText="1"/>
    </xf>
    <xf numFmtId="0" fontId="8" fillId="12" borderId="0" xfId="1" applyFont="1" applyFill="1" applyAlignment="1">
      <alignment horizontal="left" vertical="center" wrapText="1"/>
    </xf>
    <xf numFmtId="0" fontId="7" fillId="12" borderId="0" xfId="1" applyFont="1" applyFill="1" applyAlignment="1">
      <alignment horizontal="left" vertical="center" wrapText="1"/>
    </xf>
    <xf numFmtId="0" fontId="4" fillId="3" borderId="0" xfId="1" applyFont="1" applyFill="1" applyAlignment="1">
      <alignment vertical="center" wrapText="1"/>
    </xf>
    <xf numFmtId="0" fontId="8" fillId="4" borderId="0" xfId="1" applyFont="1" applyFill="1" applyAlignment="1">
      <alignment horizontal="left" vertical="center" wrapText="1"/>
    </xf>
    <xf numFmtId="0" fontId="7" fillId="13" borderId="0" xfId="1" applyFont="1" applyFill="1" applyAlignment="1">
      <alignment horizontal="center" vertical="center" wrapText="1"/>
    </xf>
    <xf numFmtId="0" fontId="8" fillId="13" borderId="0" xfId="1" applyFont="1" applyFill="1" applyAlignment="1">
      <alignment vertical="center" wrapText="1"/>
    </xf>
    <xf numFmtId="0" fontId="7" fillId="13" borderId="0" xfId="1" applyFont="1" applyFill="1" applyAlignment="1">
      <alignment vertical="center" wrapText="1"/>
    </xf>
    <xf numFmtId="0" fontId="9" fillId="9" borderId="0" xfId="1" applyFont="1" applyFill="1" applyAlignment="1">
      <alignment horizontal="center" vertical="center" wrapText="1"/>
    </xf>
    <xf numFmtId="0" fontId="10" fillId="10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 wrapText="1"/>
    </xf>
    <xf numFmtId="0" fontId="1" fillId="0" borderId="0" xfId="1" applyFont="1" applyAlignment="1">
      <alignment vertical="center"/>
    </xf>
    <xf numFmtId="0" fontId="0" fillId="0" borderId="0" xfId="0"/>
    <xf numFmtId="0" fontId="4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9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="90" zoomScaleNormal="90" workbookViewId="0">
      <selection activeCell="I2" sqref="I2"/>
    </sheetView>
  </sheetViews>
  <sheetFormatPr defaultRowHeight="13.5"/>
  <cols>
    <col min="1" max="1" width="18" customWidth="1"/>
    <col min="2" max="2" width="36" customWidth="1"/>
    <col min="3" max="3" width="44" customWidth="1"/>
    <col min="4" max="4" width="32" customWidth="1"/>
    <col min="5" max="5" width="10" customWidth="1"/>
    <col min="6" max="6" width="7.875" bestFit="1" customWidth="1"/>
    <col min="7" max="7" width="16" customWidth="1"/>
  </cols>
  <sheetData>
    <row r="1" spans="1:7" ht="27.4" customHeight="1">
      <c r="A1" s="27" t="s">
        <v>0</v>
      </c>
      <c r="B1" s="27"/>
      <c r="C1" s="27"/>
      <c r="D1" s="27"/>
      <c r="E1" s="27"/>
      <c r="F1" s="27"/>
      <c r="G1" s="27"/>
    </row>
    <row r="2" spans="1:7" ht="12" customHeight="1">
      <c r="A2" s="28" t="s">
        <v>1</v>
      </c>
      <c r="B2" s="28"/>
      <c r="C2" s="28"/>
      <c r="D2" s="28"/>
      <c r="E2" s="28"/>
      <c r="F2" s="28"/>
      <c r="G2" s="28"/>
    </row>
    <row r="3" spans="1:7" ht="12" customHeight="1">
      <c r="A3" s="17"/>
      <c r="B3" s="17"/>
      <c r="C3" s="17"/>
      <c r="D3" s="17"/>
      <c r="E3" s="17"/>
      <c r="F3" s="17"/>
      <c r="G3" s="17"/>
    </row>
    <row r="4" spans="1:7" ht="13.05" customHeight="1">
      <c r="A4" s="32" t="s">
        <v>2</v>
      </c>
      <c r="B4" s="32"/>
      <c r="C4" s="22"/>
      <c r="D4" s="29" t="s">
        <v>3</v>
      </c>
      <c r="E4" s="29"/>
      <c r="F4" s="29"/>
      <c r="G4" s="29"/>
    </row>
    <row r="5" spans="1:7" ht="26" customHeight="1">
      <c r="A5" s="16" t="s">
        <v>4</v>
      </c>
      <c r="B5" s="23" t="s">
        <v>5</v>
      </c>
      <c r="C5" s="26"/>
      <c r="D5" s="18" t="s">
        <v>6</v>
      </c>
      <c r="E5" s="18" t="s">
        <v>7</v>
      </c>
      <c r="F5" s="18" t="s">
        <v>8</v>
      </c>
      <c r="G5" s="18"/>
    </row>
    <row r="6" spans="1:7" ht="26" customHeight="1">
      <c r="A6" s="16" t="s">
        <v>9</v>
      </c>
      <c r="B6" s="23" t="s">
        <v>10</v>
      </c>
      <c r="C6" s="26"/>
      <c r="D6" s="20" t="s">
        <v>11</v>
      </c>
      <c r="E6" s="20" t="s">
        <v>12</v>
      </c>
      <c r="F6" s="20" t="s">
        <v>13</v>
      </c>
      <c r="G6" s="17"/>
    </row>
    <row r="7" spans="1:7" ht="26" customHeight="1">
      <c r="A7" s="16" t="s">
        <v>14</v>
      </c>
      <c r="B7" s="23" t="s">
        <v>15</v>
      </c>
      <c r="C7" s="26"/>
      <c r="D7" s="20" t="s">
        <v>16</v>
      </c>
      <c r="E7" s="20" t="s">
        <v>17</v>
      </c>
      <c r="F7" s="20" t="s">
        <v>18</v>
      </c>
      <c r="G7" s="17"/>
    </row>
    <row r="8" spans="1:7" ht="12" customHeight="1">
      <c r="A8" s="24"/>
      <c r="B8" s="25"/>
      <c r="C8" s="26"/>
      <c r="D8" s="20" t="s">
        <v>19</v>
      </c>
      <c r="E8" s="20" t="s">
        <v>20</v>
      </c>
      <c r="F8" s="20" t="s">
        <v>21</v>
      </c>
      <c r="G8" s="17"/>
    </row>
    <row r="9" spans="1:7" ht="12" customHeight="1">
      <c r="A9" s="26"/>
      <c r="B9" s="25"/>
      <c r="C9" s="25"/>
      <c r="D9" s="20" t="s">
        <v>22</v>
      </c>
      <c r="E9" s="20" t="s">
        <v>23</v>
      </c>
      <c r="F9" s="20" t="s">
        <v>24</v>
      </c>
      <c r="G9" s="17"/>
    </row>
    <row r="10" spans="1:7" ht="12" customHeight="1">
      <c r="A10" s="26"/>
      <c r="B10" s="26"/>
      <c r="C10" s="26"/>
      <c r="D10" s="21" t="s">
        <v>25</v>
      </c>
      <c r="E10" s="21" t="s">
        <v>26</v>
      </c>
      <c r="F10" s="20" t="s">
        <v>27</v>
      </c>
      <c r="G10" s="17"/>
    </row>
    <row r="11" spans="1:7" ht="12" customHeight="1">
      <c r="A11" s="26"/>
      <c r="B11" s="25"/>
      <c r="C11" s="25"/>
      <c r="D11" s="20" t="s">
        <v>28</v>
      </c>
      <c r="E11" s="20" t="s">
        <v>29</v>
      </c>
      <c r="F11" s="20" t="s">
        <v>30</v>
      </c>
      <c r="G11" s="17"/>
    </row>
    <row r="12" spans="1:7" ht="12" customHeight="1">
      <c r="A12" s="17"/>
      <c r="B12" s="17"/>
      <c r="C12" s="17"/>
      <c r="D12" s="17"/>
      <c r="E12" s="17"/>
      <c r="F12" s="17"/>
      <c r="G12" s="17"/>
    </row>
    <row r="13" spans="1:7" ht="13.05" customHeight="1">
      <c r="A13" s="29" t="s">
        <v>31</v>
      </c>
      <c r="B13" s="29"/>
      <c r="C13" s="29"/>
      <c r="D13" s="29"/>
      <c r="E13" s="29"/>
      <c r="F13" s="29"/>
      <c r="G13" s="29"/>
    </row>
    <row r="14" spans="1:7" ht="12" customHeight="1">
      <c r="A14" s="18" t="s">
        <v>32</v>
      </c>
      <c r="B14" s="18" t="s">
        <v>33</v>
      </c>
      <c r="C14" s="18" t="s">
        <v>34</v>
      </c>
      <c r="D14" s="18" t="s">
        <v>35</v>
      </c>
      <c r="E14" s="18"/>
      <c r="F14" s="18"/>
      <c r="G14" s="18"/>
    </row>
    <row r="15" spans="1:7" ht="26" customHeight="1">
      <c r="A15" s="19" t="s">
        <v>16</v>
      </c>
      <c r="B15" s="19" t="s">
        <v>36</v>
      </c>
      <c r="C15" s="19" t="s">
        <v>37</v>
      </c>
      <c r="D15" s="19" t="s">
        <v>38</v>
      </c>
      <c r="E15" s="17"/>
      <c r="F15" s="17"/>
      <c r="G15" s="17"/>
    </row>
    <row r="16" spans="1:7" ht="26" customHeight="1">
      <c r="A16" s="19" t="s">
        <v>19</v>
      </c>
      <c r="B16" s="19" t="s">
        <v>39</v>
      </c>
      <c r="C16" s="19" t="s">
        <v>40</v>
      </c>
      <c r="D16" s="19" t="s">
        <v>41</v>
      </c>
      <c r="E16" s="17"/>
      <c r="F16" s="17"/>
      <c r="G16" s="17"/>
    </row>
    <row r="17" spans="1:7" ht="26" customHeight="1">
      <c r="A17" s="19" t="s">
        <v>22</v>
      </c>
      <c r="B17" s="19" t="s">
        <v>42</v>
      </c>
      <c r="C17" s="19" t="s">
        <v>43</v>
      </c>
      <c r="D17" s="19" t="s">
        <v>44</v>
      </c>
      <c r="E17" s="17"/>
      <c r="F17" s="17"/>
      <c r="G17" s="17"/>
    </row>
    <row r="18" spans="1:7" ht="26" customHeight="1">
      <c r="A18" s="19" t="s">
        <v>25</v>
      </c>
      <c r="B18" s="19" t="s">
        <v>45</v>
      </c>
      <c r="C18" s="19" t="s">
        <v>46</v>
      </c>
      <c r="D18" s="19" t="s">
        <v>47</v>
      </c>
      <c r="E18" s="17"/>
      <c r="F18" s="17"/>
      <c r="G18" s="17"/>
    </row>
    <row r="19" spans="1:7" ht="12" customHeight="1">
      <c r="A19" s="17"/>
      <c r="B19" s="17"/>
      <c r="C19" s="17"/>
      <c r="D19" s="17"/>
      <c r="E19" s="17"/>
      <c r="F19" s="17"/>
      <c r="G19" s="17"/>
    </row>
    <row r="20" spans="1:7" ht="13.05" customHeight="1">
      <c r="A20" s="29" t="s">
        <v>48</v>
      </c>
      <c r="B20" s="29"/>
      <c r="C20" s="29"/>
      <c r="D20" s="29"/>
      <c r="E20" s="29"/>
      <c r="F20" s="29"/>
      <c r="G20" s="29"/>
    </row>
    <row r="21" spans="1:7" ht="26" customHeight="1">
      <c r="A21" s="18" t="s">
        <v>36</v>
      </c>
      <c r="B21" s="17" t="s">
        <v>49</v>
      </c>
      <c r="C21" s="17"/>
      <c r="D21" s="17"/>
      <c r="E21" s="17"/>
      <c r="F21" s="17"/>
      <c r="G21" s="17"/>
    </row>
    <row r="22" spans="1:7" ht="26" customHeight="1">
      <c r="A22" s="18" t="s">
        <v>39</v>
      </c>
      <c r="B22" s="17" t="s">
        <v>50</v>
      </c>
      <c r="C22" s="17"/>
      <c r="D22" s="17"/>
      <c r="E22" s="17"/>
      <c r="F22" s="17"/>
      <c r="G22" s="17"/>
    </row>
    <row r="23" spans="1:7" ht="26" customHeight="1">
      <c r="A23" s="18" t="s">
        <v>42</v>
      </c>
      <c r="B23" s="17" t="s">
        <v>51</v>
      </c>
      <c r="C23" s="17"/>
      <c r="D23" s="17"/>
      <c r="E23" s="17"/>
      <c r="F23" s="17"/>
      <c r="G23" s="17"/>
    </row>
    <row r="24" spans="1:7" ht="12" customHeight="1">
      <c r="A24" s="17"/>
      <c r="B24" s="17"/>
      <c r="C24" s="17"/>
      <c r="D24" s="17"/>
      <c r="E24" s="17"/>
      <c r="F24" s="17"/>
      <c r="G24" s="17"/>
    </row>
    <row r="25" spans="1:7" ht="13.05" customHeight="1">
      <c r="A25" s="29" t="s">
        <v>52</v>
      </c>
      <c r="B25" s="29"/>
      <c r="C25" s="29"/>
      <c r="D25" s="29"/>
      <c r="E25" s="29"/>
      <c r="F25" s="29"/>
      <c r="G25" s="29"/>
    </row>
    <row r="26" spans="1:7" ht="26" customHeight="1">
      <c r="A26" s="18" t="s">
        <v>53</v>
      </c>
      <c r="B26" s="17" t="s">
        <v>54</v>
      </c>
      <c r="C26" s="17"/>
      <c r="D26" s="17"/>
      <c r="E26" s="17"/>
      <c r="F26" s="17"/>
      <c r="G26" s="17"/>
    </row>
    <row r="27" spans="1:7" ht="26" customHeight="1">
      <c r="A27" s="18" t="s">
        <v>55</v>
      </c>
      <c r="B27" s="17" t="s">
        <v>56</v>
      </c>
      <c r="C27" s="17"/>
      <c r="D27" s="17"/>
      <c r="E27" s="17"/>
      <c r="F27" s="17"/>
      <c r="G27" s="17"/>
    </row>
    <row r="28" spans="1:7" ht="13.9">
      <c r="A28" s="17"/>
      <c r="B28" s="17"/>
      <c r="C28" s="17"/>
      <c r="D28" s="17"/>
      <c r="E28" s="17"/>
      <c r="F28" s="17"/>
      <c r="G28" s="17"/>
    </row>
    <row r="29" spans="1:7" ht="13.9">
      <c r="A29" s="17"/>
      <c r="B29" s="17"/>
      <c r="C29" s="17"/>
      <c r="D29" s="17"/>
      <c r="E29" s="17"/>
      <c r="F29" s="17"/>
      <c r="G29" s="17"/>
    </row>
    <row r="30" spans="1:7" ht="13.9">
      <c r="A30" s="17"/>
      <c r="B30" s="17"/>
      <c r="C30" s="17"/>
      <c r="D30" s="17"/>
      <c r="E30" s="17"/>
      <c r="F30" s="17"/>
      <c r="G30" s="17"/>
    </row>
    <row r="31" spans="1:7" ht="13.9">
      <c r="A31" s="17"/>
      <c r="B31" s="17"/>
      <c r="C31" s="17"/>
      <c r="D31" s="17"/>
      <c r="E31" s="17"/>
      <c r="F31" s="17"/>
      <c r="G31" s="17"/>
    </row>
    <row r="32" spans="1:7" ht="13.9">
      <c r="A32" s="17"/>
      <c r="B32" s="17"/>
      <c r="C32" s="17"/>
      <c r="D32" s="17"/>
      <c r="E32" s="17"/>
      <c r="F32" s="17"/>
      <c r="G32" s="17"/>
    </row>
    <row r="33" spans="1:7" ht="13.9">
      <c r="A33" s="17"/>
      <c r="B33" s="17"/>
      <c r="C33" s="17"/>
      <c r="D33" s="17"/>
      <c r="E33" s="17"/>
      <c r="F33" s="17"/>
      <c r="G33" s="17"/>
    </row>
    <row r="34" spans="1:7" ht="13.9">
      <c r="A34" s="17"/>
      <c r="B34" s="17"/>
      <c r="C34" s="17"/>
      <c r="D34" s="17"/>
      <c r="E34" s="17"/>
      <c r="F34" s="17"/>
      <c r="G34" s="17"/>
    </row>
    <row r="35" spans="1:7" ht="13.9">
      <c r="A35" s="17"/>
      <c r="B35" s="17"/>
      <c r="C35" s="17"/>
      <c r="D35" s="17"/>
      <c r="E35" s="17"/>
      <c r="F35" s="17"/>
      <c r="G35" s="17"/>
    </row>
    <row r="36" spans="1:7" ht="13.9">
      <c r="A36" s="17"/>
      <c r="B36" s="17"/>
      <c r="C36" s="17"/>
      <c r="D36" s="17"/>
      <c r="E36" s="17"/>
      <c r="F36" s="17"/>
      <c r="G36" s="17"/>
    </row>
    <row r="37" spans="1:7" ht="13.9">
      <c r="A37" s="17"/>
      <c r="B37" s="17"/>
      <c r="C37" s="17"/>
      <c r="D37" s="17"/>
      <c r="E37" s="17"/>
      <c r="F37" s="17"/>
      <c r="G37" s="17"/>
    </row>
    <row r="38" spans="1:7" ht="13.9">
      <c r="A38" s="17"/>
      <c r="B38" s="17"/>
      <c r="C38" s="17"/>
      <c r="D38" s="17"/>
      <c r="E38" s="17"/>
      <c r="F38" s="17"/>
      <c r="G38" s="17"/>
    </row>
    <row r="39" spans="1:7" ht="13.9">
      <c r="A39" s="17"/>
      <c r="B39" s="17"/>
      <c r="C39" s="17"/>
      <c r="D39" s="17"/>
      <c r="E39" s="17"/>
      <c r="F39" s="17"/>
      <c r="G39" s="17"/>
    </row>
    <row r="40" spans="1:7">
      <c r="A40" s="17"/>
      <c r="B40" s="17"/>
      <c r="C40" s="17"/>
      <c r="D40" s="17"/>
      <c r="E40" s="17"/>
      <c r="F40" s="17"/>
      <c r="G40" s="17"/>
    </row>
  </sheetData>
  <mergeCells count="7">
    <mergeCell ref="A20:G20"/>
    <mergeCell ref="A25:G25"/>
    <mergeCell ref="A4:B4"/>
    <mergeCell ref="A1:G1"/>
    <mergeCell ref="A2:G2"/>
    <mergeCell ref="D4:G4"/>
    <mergeCell ref="A13:G13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sqref="A1:H1"/>
    </sheetView>
  </sheetViews>
  <sheetFormatPr defaultRowHeight="13.5"/>
  <cols>
    <col min="1" max="1" width="24" customWidth="1"/>
    <col min="2" max="3" width="18" customWidth="1"/>
    <col min="4" max="4" width="16" customWidth="1"/>
    <col min="5" max="5" width="28" customWidth="1"/>
    <col min="6" max="7" width="14" customWidth="1"/>
    <col min="8" max="8" width="16" customWidth="1"/>
  </cols>
  <sheetData>
    <row r="1" spans="1:8" ht="22.9">
      <c r="A1" s="30" t="s">
        <v>57</v>
      </c>
      <c r="B1" s="31"/>
      <c r="C1" s="31"/>
      <c r="D1" s="31"/>
      <c r="E1" s="31"/>
      <c r="F1" s="31"/>
      <c r="G1" s="31"/>
      <c r="H1" s="31"/>
    </row>
    <row r="3" spans="1:8" ht="15.75">
      <c r="A3" s="1" t="s">
        <v>58</v>
      </c>
      <c r="B3" s="2"/>
      <c r="D3" s="3" t="s">
        <v>59</v>
      </c>
      <c r="E3" s="3" t="s">
        <v>60</v>
      </c>
      <c r="F3" s="3" t="s">
        <v>61</v>
      </c>
      <c r="G3" s="3" t="s">
        <v>62</v>
      </c>
      <c r="H3" s="3" t="s">
        <v>63</v>
      </c>
    </row>
    <row r="4" spans="1:8" ht="15.75">
      <c r="A4" s="1" t="s">
        <v>64</v>
      </c>
      <c r="B4" s="2"/>
      <c r="D4" s="2" t="s">
        <v>65</v>
      </c>
      <c r="E4" s="2">
        <f>'05_月度复盘'!B2</f>
        <v>0</v>
      </c>
      <c r="F4" s="2">
        <f>'05_月度复盘'!C2</f>
        <v>0</v>
      </c>
      <c r="G4" s="5">
        <f>'05_月度复盘'!D2</f>
        <v>0</v>
      </c>
      <c r="H4" s="2">
        <f>'05_月度复盘'!F2</f>
        <v>0</v>
      </c>
    </row>
    <row r="5" spans="1:8" ht="15.75">
      <c r="A5" s="1" t="s">
        <v>66</v>
      </c>
      <c r="B5" s="2"/>
      <c r="D5" s="2" t="s">
        <v>67</v>
      </c>
      <c r="E5" s="2">
        <f>'05_月度复盘'!B3</f>
        <v>0</v>
      </c>
      <c r="F5" s="2">
        <f>'05_月度复盘'!C3</f>
        <v>0</v>
      </c>
      <c r="G5" s="5">
        <f>'05_月度复盘'!D3</f>
        <v>0</v>
      </c>
      <c r="H5" s="2">
        <f>'05_月度复盘'!F3</f>
        <v>0</v>
      </c>
    </row>
    <row r="6" spans="1:8" ht="15.75">
      <c r="A6" s="1" t="s">
        <v>68</v>
      </c>
      <c r="B6" s="4"/>
      <c r="D6" s="2" t="s">
        <v>69</v>
      </c>
      <c r="E6" s="2">
        <f>'05_月度复盘'!B4</f>
        <v>0</v>
      </c>
      <c r="F6" s="2">
        <f>'05_月度复盘'!C4</f>
        <v>0</v>
      </c>
      <c r="G6" s="5">
        <f>'05_月度复盘'!D4</f>
        <v>0</v>
      </c>
      <c r="H6" s="2">
        <f>'05_月度复盘'!F4</f>
        <v>0</v>
      </c>
    </row>
    <row r="7" spans="1:8" ht="15.75">
      <c r="A7" s="1" t="s">
        <v>70</v>
      </c>
      <c r="B7" s="2" t="s">
        <v>71</v>
      </c>
      <c r="D7" s="2" t="s">
        <v>72</v>
      </c>
      <c r="E7" s="2">
        <f>'05_月度复盘'!B5</f>
        <v>0</v>
      </c>
      <c r="F7" s="2">
        <f>'05_月度复盘'!C5</f>
        <v>0</v>
      </c>
      <c r="G7" s="5">
        <f>'05_月度复盘'!D5</f>
        <v>0</v>
      </c>
      <c r="H7" s="2">
        <f>'05_月度复盘'!F5</f>
        <v>0</v>
      </c>
    </row>
    <row r="8" spans="1:8" ht="13.9">
      <c r="D8" s="2" t="s">
        <v>73</v>
      </c>
      <c r="E8" s="2">
        <f>'05_月度复盘'!B6</f>
        <v>0</v>
      </c>
      <c r="F8" s="2">
        <f>'05_月度复盘'!C6</f>
        <v>0</v>
      </c>
      <c r="G8" s="5">
        <f>'05_月度复盘'!D6</f>
        <v>0</v>
      </c>
      <c r="H8" s="2">
        <f>'05_月度复盘'!F6</f>
        <v>0</v>
      </c>
    </row>
    <row r="9" spans="1:8" ht="13.9">
      <c r="D9" s="2" t="s">
        <v>74</v>
      </c>
      <c r="E9" s="2">
        <f>'05_月度复盘'!B7</f>
        <v>0</v>
      </c>
      <c r="F9" s="2">
        <f>'05_月度复盘'!C7</f>
        <v>0</v>
      </c>
      <c r="G9" s="5">
        <f>'05_月度复盘'!D7</f>
        <v>0</v>
      </c>
      <c r="H9" s="2">
        <f>'05_月度复盘'!F7</f>
        <v>0</v>
      </c>
    </row>
    <row r="10" spans="1:8" ht="15.75">
      <c r="A10" s="1" t="s">
        <v>75</v>
      </c>
      <c r="B10" s="6">
        <f>COUNTA('02_能力差距自评'!F:F)-1</f>
        <v>310</v>
      </c>
      <c r="D10" s="2" t="s">
        <v>76</v>
      </c>
      <c r="E10" s="2">
        <f>'05_月度复盘'!B8</f>
        <v>0</v>
      </c>
      <c r="F10" s="2">
        <f>'05_月度复盘'!C8</f>
        <v>0</v>
      </c>
      <c r="G10" s="5">
        <f>'05_月度复盘'!D8</f>
        <v>0</v>
      </c>
      <c r="H10" s="2">
        <f>'05_月度复盘'!F8</f>
        <v>0</v>
      </c>
    </row>
    <row r="11" spans="1:8" ht="15.75">
      <c r="A11" s="1" t="s">
        <v>77</v>
      </c>
      <c r="B11" s="6">
        <f>COUNTIF('02_能力差距自评'!P:P,"是")</f>
        <v>0</v>
      </c>
      <c r="D11" s="2" t="s">
        <v>78</v>
      </c>
      <c r="E11" s="2">
        <f>'05_月度复盘'!B9</f>
        <v>0</v>
      </c>
      <c r="F11" s="2">
        <f>'05_月度复盘'!C9</f>
        <v>0</v>
      </c>
      <c r="G11" s="5">
        <f>'05_月度复盘'!D9</f>
        <v>0</v>
      </c>
      <c r="H11" s="2">
        <f>'05_月度复盘'!F9</f>
        <v>0</v>
      </c>
    </row>
    <row r="12" spans="1:8" ht="15.75">
      <c r="A12" s="1" t="s">
        <v>79</v>
      </c>
      <c r="B12" s="6">
        <f>COUNTIF('03_年度学习计划'!D:D,"&lt;&gt;")-1</f>
        <v>349</v>
      </c>
      <c r="D12" s="2" t="s">
        <v>80</v>
      </c>
      <c r="E12" s="2">
        <f>'05_月度复盘'!B10</f>
        <v>0</v>
      </c>
      <c r="F12" s="2">
        <f>'05_月度复盘'!C10</f>
        <v>0</v>
      </c>
      <c r="G12" s="5">
        <f>'05_月度复盘'!D10</f>
        <v>0</v>
      </c>
      <c r="H12" s="2">
        <f>'05_月度复盘'!F10</f>
        <v>0</v>
      </c>
    </row>
    <row r="13" spans="1:8" ht="15.75">
      <c r="A13" s="1" t="s">
        <v>81</v>
      </c>
      <c r="B13" s="6">
        <f>COUNTIFS('03_年度学习计划'!D:D,"&lt;&gt;",'03_年度学习计划'!O:O,"已完成")</f>
        <v>0</v>
      </c>
      <c r="D13" s="2" t="s">
        <v>82</v>
      </c>
      <c r="E13" s="2">
        <f>'05_月度复盘'!B11</f>
        <v>0</v>
      </c>
      <c r="F13" s="2">
        <f>'05_月度复盘'!C11</f>
        <v>0</v>
      </c>
      <c r="G13" s="5">
        <f>'05_月度复盘'!D11</f>
        <v>0</v>
      </c>
      <c r="H13" s="2">
        <f>'05_月度复盘'!F11</f>
        <v>0</v>
      </c>
    </row>
    <row r="14" spans="1:8" ht="15.75">
      <c r="A14" s="1" t="s">
        <v>83</v>
      </c>
      <c r="B14" s="7">
        <f>IFERROR(B13/B12,0)</f>
        <v>0</v>
      </c>
      <c r="D14" s="2" t="s">
        <v>84</v>
      </c>
      <c r="E14" s="2">
        <f>'05_月度复盘'!B12</f>
        <v>0</v>
      </c>
      <c r="F14" s="2">
        <f>'05_月度复盘'!C12</f>
        <v>0</v>
      </c>
      <c r="G14" s="5">
        <f>'05_月度复盘'!D12</f>
        <v>0</v>
      </c>
      <c r="H14" s="2">
        <f>'05_月度复盘'!F12</f>
        <v>0</v>
      </c>
    </row>
    <row r="15" spans="1:8" ht="15.75">
      <c r="A15" s="1" t="s">
        <v>85</v>
      </c>
      <c r="B15" s="6">
        <f>SUM('03_年度学习计划'!M:M)</f>
        <v>0</v>
      </c>
      <c r="D15" s="2" t="s">
        <v>86</v>
      </c>
      <c r="E15" s="2">
        <f>'05_月度复盘'!B13</f>
        <v>0</v>
      </c>
      <c r="F15" s="2">
        <f>'05_月度复盘'!C13</f>
        <v>0</v>
      </c>
      <c r="G15" s="5">
        <f>'05_月度复盘'!D13</f>
        <v>0</v>
      </c>
      <c r="H15" s="2">
        <f>'05_月度复盘'!F13</f>
        <v>0</v>
      </c>
    </row>
    <row r="16" spans="1:8" ht="15.75">
      <c r="A16" s="1" t="s">
        <v>63</v>
      </c>
      <c r="B16" s="6">
        <f>SUM('03_年度学习计划'!N:N)</f>
        <v>0</v>
      </c>
    </row>
    <row r="19" spans="1:5" ht="15.75">
      <c r="A19" s="3" t="s">
        <v>87</v>
      </c>
      <c r="B19" s="3" t="s">
        <v>77</v>
      </c>
      <c r="C19" s="3" t="s">
        <v>88</v>
      </c>
      <c r="D19" s="3" t="s">
        <v>89</v>
      </c>
      <c r="E19" s="3" t="s">
        <v>90</v>
      </c>
    </row>
    <row r="20" spans="1:5" ht="13.9">
      <c r="A20" s="2" t="s">
        <v>91</v>
      </c>
      <c r="B20" s="2">
        <f>COUNTIFS('02_能力差距自评'!B:B,"P01",'02_能力差距自评'!P:P,"是")</f>
        <v>0</v>
      </c>
      <c r="C20" s="2">
        <f>COUNTIFS('02_能力差距自评'!B:B,"P01",'02_能力差距自评'!O:O,"高")</f>
        <v>0</v>
      </c>
      <c r="D20" s="2">
        <f>COUNTIFS('02_能力差距自评'!B:B,"P01",'02_能力差距自评'!S:S,"已完成")</f>
        <v>0</v>
      </c>
      <c r="E20" s="2"/>
    </row>
    <row r="21" spans="1:5" ht="13.9">
      <c r="A21" s="2" t="s">
        <v>92</v>
      </c>
      <c r="B21" s="2">
        <f>COUNTIFS('02_能力差距自评'!B:B,"P02",'02_能力差距自评'!P:P,"是")</f>
        <v>0</v>
      </c>
      <c r="C21" s="2">
        <f>COUNTIFS('02_能力差距自评'!B:B,"P02",'02_能力差距自评'!O:O,"高")</f>
        <v>0</v>
      </c>
      <c r="D21" s="2">
        <f>COUNTIFS('02_能力差距自评'!B:B,"P02",'02_能力差距自评'!S:S,"已完成")</f>
        <v>0</v>
      </c>
      <c r="E21" s="2"/>
    </row>
    <row r="22" spans="1:5" ht="13.9">
      <c r="A22" s="2" t="s">
        <v>93</v>
      </c>
      <c r="B22" s="2">
        <f>COUNTIFS('02_能力差距自评'!B:B,"P03",'02_能力差距自评'!P:P,"是")</f>
        <v>0</v>
      </c>
      <c r="C22" s="2">
        <f>COUNTIFS('02_能力差距自评'!B:B,"P03",'02_能力差距自评'!O:O,"高")</f>
        <v>0</v>
      </c>
      <c r="D22" s="2">
        <f>COUNTIFS('02_能力差距自评'!B:B,"P03",'02_能力差距自评'!S:S,"已完成")</f>
        <v>0</v>
      </c>
      <c r="E22" s="2"/>
    </row>
    <row r="23" spans="1:5" ht="13.9">
      <c r="A23" s="2" t="s">
        <v>94</v>
      </c>
      <c r="B23" s="2">
        <f>COUNTIFS('02_能力差距自评'!B:B,"C01",'02_能力差距自评'!P:P,"是")</f>
        <v>0</v>
      </c>
      <c r="C23" s="2">
        <f>COUNTIFS('02_能力差距自评'!B:B,"C01",'02_能力差距自评'!O:O,"高")</f>
        <v>0</v>
      </c>
      <c r="D23" s="2">
        <f>COUNTIFS('02_能力差距自评'!B:B,"C01",'02_能力差距自评'!S:S,"已完成")</f>
        <v>0</v>
      </c>
      <c r="E23" s="2"/>
    </row>
    <row r="24" spans="1:5" ht="13.9">
      <c r="A24" s="2" t="s">
        <v>95</v>
      </c>
      <c r="B24" s="2">
        <f>COUNTIFS('02_能力差距自评'!B:B,"C02",'02_能力差距自评'!P:P,"是")</f>
        <v>0</v>
      </c>
      <c r="C24" s="2">
        <f>COUNTIFS('02_能力差距自评'!B:B,"C02",'02_能力差距自评'!O:O,"高")</f>
        <v>0</v>
      </c>
      <c r="D24" s="2">
        <f>COUNTIFS('02_能力差距自评'!B:B,"C02",'02_能力差距自评'!S:S,"已完成")</f>
        <v>0</v>
      </c>
      <c r="E24" s="2"/>
    </row>
    <row r="25" spans="1:5" ht="13.9">
      <c r="A25" s="2" t="s">
        <v>96</v>
      </c>
      <c r="B25" s="2">
        <f>COUNTIFS('02_能力差距自评'!B:B,"C03",'02_能力差距自评'!P:P,"是")</f>
        <v>0</v>
      </c>
      <c r="C25" s="2">
        <f>COUNTIFS('02_能力差距自评'!B:B,"C03",'02_能力差距自评'!O:O,"高")</f>
        <v>0</v>
      </c>
      <c r="D25" s="2">
        <f>COUNTIFS('02_能力差距自评'!B:B,"C03",'02_能力差距自评'!S:S,"已完成")</f>
        <v>0</v>
      </c>
      <c r="E25" s="2"/>
    </row>
  </sheetData>
  <mergeCells count="1">
    <mergeCell ref="A1:H1"/>
  </mergeCells>
  <phoneticPr fontId="12" type="noConversion"/>
  <dataValidations count="1">
    <dataValidation type="list" sqref="B4:B5" xr:uid="{00000000-0002-0000-0100-000000000000}">
      <formula1>"P4,P5,P6,P7,P8"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11"/>
  <sheetViews>
    <sheetView workbookViewId="0"/>
  </sheetViews>
  <sheetFormatPr defaultRowHeight="13.5"/>
  <cols>
    <col min="1" max="1" width="14" customWidth="1"/>
    <col min="2" max="2" width="10" customWidth="1"/>
    <col min="3" max="3" width="20" customWidth="1"/>
    <col min="4" max="4" width="12" customWidth="1"/>
    <col min="5" max="5" width="26" customWidth="1"/>
    <col min="6" max="6" width="14" customWidth="1"/>
    <col min="7" max="7" width="32" customWidth="1"/>
    <col min="8" max="8" width="14" customWidth="1"/>
    <col min="9" max="9" width="20" customWidth="1"/>
    <col min="10" max="10" width="48" customWidth="1"/>
    <col min="11" max="11" width="12" customWidth="1"/>
    <col min="12" max="13" width="15" customWidth="1"/>
    <col min="14" max="14" width="10" customWidth="1"/>
    <col min="15" max="15" width="12" customWidth="1"/>
    <col min="16" max="16" width="14" customWidth="1"/>
    <col min="17" max="17" width="12" customWidth="1"/>
    <col min="18" max="18" width="14" customWidth="1"/>
    <col min="19" max="19" width="12" customWidth="1"/>
    <col min="20" max="20" width="36" customWidth="1"/>
    <col min="21" max="21" width="24" customWidth="1"/>
    <col min="22" max="22" width="18" customWidth="1"/>
    <col min="23" max="23" width="14" customWidth="1"/>
  </cols>
  <sheetData>
    <row r="1" spans="1:23" ht="26.25" customHeight="1">
      <c r="A1" s="3" t="s">
        <v>97</v>
      </c>
      <c r="B1" s="3" t="s">
        <v>98</v>
      </c>
      <c r="C1" s="3" t="s">
        <v>87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  <c r="N1" s="3" t="s">
        <v>109</v>
      </c>
      <c r="O1" s="3" t="s">
        <v>110</v>
      </c>
      <c r="P1" s="3" t="s">
        <v>111</v>
      </c>
      <c r="Q1" s="3" t="s">
        <v>112</v>
      </c>
      <c r="R1" s="3" t="s">
        <v>113</v>
      </c>
      <c r="S1" s="3" t="s">
        <v>114</v>
      </c>
      <c r="T1" s="3" t="s">
        <v>115</v>
      </c>
      <c r="U1" s="3" t="s">
        <v>90</v>
      </c>
      <c r="V1" s="3" t="s">
        <v>116</v>
      </c>
      <c r="W1" s="9" t="s">
        <v>117</v>
      </c>
    </row>
    <row r="2" spans="1:23" ht="41.65">
      <c r="A2" s="2" t="s">
        <v>118</v>
      </c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21</v>
      </c>
      <c r="I2" s="2" t="s">
        <v>125</v>
      </c>
      <c r="J2" s="2" t="s">
        <v>126</v>
      </c>
      <c r="K2" s="2" t="s">
        <v>127</v>
      </c>
      <c r="L2" s="2"/>
      <c r="M2" s="2"/>
      <c r="N2" s="2" t="str">
        <f t="shared" ref="N2:N65" si="0">IF(OR(L2="",M2=""),"",MAX(0,M2-L2))</f>
        <v/>
      </c>
      <c r="O2" s="2"/>
      <c r="P2" s="2"/>
      <c r="Q2" s="2"/>
      <c r="R2" s="2"/>
      <c r="S2" s="2" t="s">
        <v>128</v>
      </c>
      <c r="T2" s="2"/>
      <c r="U2" s="2"/>
      <c r="V2" s="2" t="str">
        <f t="shared" ref="V2:V65" si="1">IF(N2="","",IF(N2&gt;=3,"年度重点专项",IF(N2=2,"季度重点补齐",IF(N2=1,"月度常规提升","保持观察/可做分享"))))</f>
        <v/>
      </c>
      <c r="W2" t="str">
        <f>IF($P2="是",COUNTIF($P$2:$P2,"是"),"")</f>
        <v/>
      </c>
    </row>
    <row r="3" spans="1:23" ht="41.6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129</v>
      </c>
      <c r="G3" s="2" t="s">
        <v>130</v>
      </c>
      <c r="H3" s="2" t="s">
        <v>21</v>
      </c>
      <c r="I3" s="2" t="s">
        <v>125</v>
      </c>
      <c r="J3" s="2" t="s">
        <v>131</v>
      </c>
      <c r="K3" s="2" t="s">
        <v>132</v>
      </c>
      <c r="L3" s="2"/>
      <c r="M3" s="2"/>
      <c r="N3" s="2" t="str">
        <f t="shared" si="0"/>
        <v/>
      </c>
      <c r="O3" s="2"/>
      <c r="P3" s="2"/>
      <c r="Q3" s="2"/>
      <c r="R3" s="2"/>
      <c r="S3" s="2" t="s">
        <v>128</v>
      </c>
      <c r="T3" s="2"/>
      <c r="U3" s="2"/>
      <c r="V3" s="2" t="str">
        <f t="shared" si="1"/>
        <v/>
      </c>
      <c r="W3" t="str">
        <f>IF($P3="是",COUNTIF($P$2:$P3,"是"),"")</f>
        <v/>
      </c>
    </row>
    <row r="4" spans="1:23" ht="41.65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133</v>
      </c>
      <c r="G4" s="2" t="s">
        <v>134</v>
      </c>
      <c r="H4" s="2" t="s">
        <v>24</v>
      </c>
      <c r="I4" s="2" t="s">
        <v>135</v>
      </c>
      <c r="J4" s="2" t="s">
        <v>136</v>
      </c>
      <c r="K4" s="2" t="s">
        <v>137</v>
      </c>
      <c r="L4" s="2"/>
      <c r="M4" s="2"/>
      <c r="N4" s="2" t="str">
        <f t="shared" si="0"/>
        <v/>
      </c>
      <c r="O4" s="2"/>
      <c r="P4" s="2"/>
      <c r="Q4" s="2"/>
      <c r="R4" s="2"/>
      <c r="S4" s="2" t="s">
        <v>128</v>
      </c>
      <c r="T4" s="2"/>
      <c r="U4" s="2"/>
      <c r="V4" s="2" t="str">
        <f t="shared" si="1"/>
        <v/>
      </c>
      <c r="W4" t="str">
        <f>IF($P4="是",COUNTIF($P$2:$P4,"是"),"")</f>
        <v/>
      </c>
    </row>
    <row r="5" spans="1:23" ht="27.75">
      <c r="A5" s="2" t="s">
        <v>118</v>
      </c>
      <c r="B5" s="2" t="s">
        <v>119</v>
      </c>
      <c r="C5" s="2" t="s">
        <v>120</v>
      </c>
      <c r="D5" s="2" t="s">
        <v>121</v>
      </c>
      <c r="E5" s="2" t="s">
        <v>122</v>
      </c>
      <c r="F5" s="2" t="s">
        <v>138</v>
      </c>
      <c r="G5" s="2" t="s">
        <v>139</v>
      </c>
      <c r="H5" s="2" t="s">
        <v>27</v>
      </c>
      <c r="I5" s="2" t="s">
        <v>125</v>
      </c>
      <c r="J5" s="2" t="s">
        <v>140</v>
      </c>
      <c r="K5" s="2" t="s">
        <v>141</v>
      </c>
      <c r="L5" s="2"/>
      <c r="M5" s="2"/>
      <c r="N5" s="2" t="str">
        <f t="shared" si="0"/>
        <v/>
      </c>
      <c r="O5" s="2"/>
      <c r="P5" s="2"/>
      <c r="Q5" s="2"/>
      <c r="R5" s="2"/>
      <c r="S5" s="2" t="s">
        <v>128</v>
      </c>
      <c r="T5" s="2"/>
      <c r="U5" s="2"/>
      <c r="V5" s="2" t="str">
        <f t="shared" si="1"/>
        <v/>
      </c>
      <c r="W5" t="str">
        <f>IF($P5="是",COUNTIF($P$2:$P5,"是"),"")</f>
        <v/>
      </c>
    </row>
    <row r="6" spans="1:23" ht="27.75">
      <c r="A6" s="2" t="s">
        <v>118</v>
      </c>
      <c r="B6" s="2" t="s">
        <v>119</v>
      </c>
      <c r="C6" s="2" t="s">
        <v>120</v>
      </c>
      <c r="D6" s="2" t="s">
        <v>121</v>
      </c>
      <c r="E6" s="2" t="s">
        <v>122</v>
      </c>
      <c r="F6" s="2" t="s">
        <v>142</v>
      </c>
      <c r="G6" s="2" t="s">
        <v>143</v>
      </c>
      <c r="H6" s="2" t="s">
        <v>144</v>
      </c>
      <c r="I6" s="2" t="s">
        <v>145</v>
      </c>
      <c r="J6" s="2" t="s">
        <v>146</v>
      </c>
      <c r="K6" s="2" t="s">
        <v>147</v>
      </c>
      <c r="L6" s="2"/>
      <c r="M6" s="2"/>
      <c r="N6" s="2" t="str">
        <f t="shared" si="0"/>
        <v/>
      </c>
      <c r="O6" s="2"/>
      <c r="P6" s="2"/>
      <c r="Q6" s="2"/>
      <c r="R6" s="2"/>
      <c r="S6" s="2" t="s">
        <v>128</v>
      </c>
      <c r="T6" s="2"/>
      <c r="U6" s="2" t="s">
        <v>148</v>
      </c>
      <c r="V6" s="2" t="str">
        <f t="shared" si="1"/>
        <v/>
      </c>
      <c r="W6" t="str">
        <f>IF($P6="是",COUNTIF($P$2:$P6,"是"),"")</f>
        <v/>
      </c>
    </row>
    <row r="7" spans="1:23" ht="41.65">
      <c r="A7" s="2" t="s">
        <v>118</v>
      </c>
      <c r="B7" s="2" t="s">
        <v>119</v>
      </c>
      <c r="C7" s="2" t="s">
        <v>120</v>
      </c>
      <c r="D7" s="2" t="s">
        <v>149</v>
      </c>
      <c r="E7" s="2" t="s">
        <v>150</v>
      </c>
      <c r="F7" s="2" t="s">
        <v>151</v>
      </c>
      <c r="G7" s="2" t="s">
        <v>152</v>
      </c>
      <c r="H7" s="2" t="s">
        <v>21</v>
      </c>
      <c r="I7" s="2" t="s">
        <v>153</v>
      </c>
      <c r="J7" s="2" t="s">
        <v>154</v>
      </c>
      <c r="K7" s="2" t="s">
        <v>137</v>
      </c>
      <c r="L7" s="2"/>
      <c r="M7" s="2"/>
      <c r="N7" s="2" t="str">
        <f t="shared" si="0"/>
        <v/>
      </c>
      <c r="O7" s="2"/>
      <c r="P7" s="2"/>
      <c r="Q7" s="2"/>
      <c r="R7" s="2"/>
      <c r="S7" s="2" t="s">
        <v>128</v>
      </c>
      <c r="T7" s="2"/>
      <c r="U7" s="2"/>
      <c r="V7" s="2" t="str">
        <f t="shared" si="1"/>
        <v/>
      </c>
      <c r="W7" t="str">
        <f>IF($P7="是",COUNTIF($P$2:$P7,"是"),"")</f>
        <v/>
      </c>
    </row>
    <row r="8" spans="1:23" ht="41.65">
      <c r="A8" s="2" t="s">
        <v>118</v>
      </c>
      <c r="B8" s="2" t="s">
        <v>119</v>
      </c>
      <c r="C8" s="2" t="s">
        <v>120</v>
      </c>
      <c r="D8" s="2" t="s">
        <v>149</v>
      </c>
      <c r="E8" s="2" t="s">
        <v>150</v>
      </c>
      <c r="F8" s="2" t="s">
        <v>155</v>
      </c>
      <c r="G8" s="2" t="s">
        <v>156</v>
      </c>
      <c r="H8" s="2" t="s">
        <v>21</v>
      </c>
      <c r="I8" s="2" t="s">
        <v>153</v>
      </c>
      <c r="J8" s="2" t="s">
        <v>157</v>
      </c>
      <c r="K8" s="2" t="s">
        <v>158</v>
      </c>
      <c r="L8" s="2"/>
      <c r="M8" s="2"/>
      <c r="N8" s="2" t="str">
        <f t="shared" si="0"/>
        <v/>
      </c>
      <c r="O8" s="2"/>
      <c r="P8" s="2"/>
      <c r="Q8" s="2"/>
      <c r="R8" s="2"/>
      <c r="S8" s="2" t="s">
        <v>128</v>
      </c>
      <c r="T8" s="2"/>
      <c r="U8" s="2" t="s">
        <v>159</v>
      </c>
      <c r="V8" s="2" t="str">
        <f t="shared" si="1"/>
        <v/>
      </c>
      <c r="W8" t="str">
        <f>IF($P8="是",COUNTIF($P$2:$P8,"是"),"")</f>
        <v/>
      </c>
    </row>
    <row r="9" spans="1:23" ht="27.75">
      <c r="A9" s="2" t="s">
        <v>118</v>
      </c>
      <c r="B9" s="2" t="s">
        <v>119</v>
      </c>
      <c r="C9" s="2" t="s">
        <v>120</v>
      </c>
      <c r="D9" s="2" t="s">
        <v>149</v>
      </c>
      <c r="E9" s="2" t="s">
        <v>150</v>
      </c>
      <c r="F9" s="2" t="s">
        <v>160</v>
      </c>
      <c r="G9" s="2" t="s">
        <v>161</v>
      </c>
      <c r="H9" s="2" t="s">
        <v>21</v>
      </c>
      <c r="I9" s="2" t="s">
        <v>153</v>
      </c>
      <c r="J9" s="2" t="s">
        <v>162</v>
      </c>
      <c r="K9" s="2" t="s">
        <v>137</v>
      </c>
      <c r="L9" s="2"/>
      <c r="M9" s="2"/>
      <c r="N9" s="2" t="str">
        <f t="shared" si="0"/>
        <v/>
      </c>
      <c r="O9" s="2"/>
      <c r="P9" s="2"/>
      <c r="Q9" s="2"/>
      <c r="R9" s="2"/>
      <c r="S9" s="2" t="s">
        <v>128</v>
      </c>
      <c r="T9" s="2"/>
      <c r="U9" s="2"/>
      <c r="V9" s="2" t="str">
        <f t="shared" si="1"/>
        <v/>
      </c>
      <c r="W9" t="str">
        <f>IF($P9="是",COUNTIF($P$2:$P9,"是"),"")</f>
        <v/>
      </c>
    </row>
    <row r="10" spans="1:23" ht="41.65">
      <c r="A10" s="2" t="s">
        <v>118</v>
      </c>
      <c r="B10" s="2" t="s">
        <v>119</v>
      </c>
      <c r="C10" s="2" t="s">
        <v>120</v>
      </c>
      <c r="D10" s="2" t="s">
        <v>149</v>
      </c>
      <c r="E10" s="2" t="s">
        <v>150</v>
      </c>
      <c r="F10" s="2" t="s">
        <v>163</v>
      </c>
      <c r="G10" s="2" t="s">
        <v>164</v>
      </c>
      <c r="H10" s="2" t="s">
        <v>21</v>
      </c>
      <c r="I10" s="2" t="s">
        <v>153</v>
      </c>
      <c r="J10" s="2" t="s">
        <v>165</v>
      </c>
      <c r="K10" s="2" t="s">
        <v>141</v>
      </c>
      <c r="L10" s="2"/>
      <c r="M10" s="2"/>
      <c r="N10" s="2" t="str">
        <f t="shared" si="0"/>
        <v/>
      </c>
      <c r="O10" s="2"/>
      <c r="P10" s="2"/>
      <c r="Q10" s="2"/>
      <c r="R10" s="2"/>
      <c r="S10" s="2" t="s">
        <v>128</v>
      </c>
      <c r="T10" s="2"/>
      <c r="U10" s="2"/>
      <c r="V10" s="2" t="str">
        <f t="shared" si="1"/>
        <v/>
      </c>
      <c r="W10" t="str">
        <f>IF($P10="是",COUNTIF($P$2:$P10,"是"),"")</f>
        <v/>
      </c>
    </row>
    <row r="11" spans="1:23" ht="27.75">
      <c r="A11" s="2" t="s">
        <v>118</v>
      </c>
      <c r="B11" s="2" t="s">
        <v>119</v>
      </c>
      <c r="C11" s="2" t="s">
        <v>120</v>
      </c>
      <c r="D11" s="2" t="s">
        <v>149</v>
      </c>
      <c r="E11" s="2" t="s">
        <v>150</v>
      </c>
      <c r="F11" s="2" t="s">
        <v>166</v>
      </c>
      <c r="G11" s="2" t="s">
        <v>167</v>
      </c>
      <c r="H11" s="2" t="s">
        <v>168</v>
      </c>
      <c r="I11" s="2" t="s">
        <v>153</v>
      </c>
      <c r="J11" s="2" t="s">
        <v>169</v>
      </c>
      <c r="K11" s="2" t="s">
        <v>170</v>
      </c>
      <c r="L11" s="2"/>
      <c r="M11" s="2"/>
      <c r="N11" s="2" t="str">
        <f t="shared" si="0"/>
        <v/>
      </c>
      <c r="O11" s="2"/>
      <c r="P11" s="2"/>
      <c r="Q11" s="2"/>
      <c r="R11" s="2"/>
      <c r="S11" s="2" t="s">
        <v>128</v>
      </c>
      <c r="T11" s="2"/>
      <c r="U11" s="2"/>
      <c r="V11" s="2" t="str">
        <f t="shared" si="1"/>
        <v/>
      </c>
      <c r="W11" t="str">
        <f>IF($P11="是",COUNTIF($P$2:$P11,"是"),"")</f>
        <v/>
      </c>
    </row>
    <row r="12" spans="1:23" ht="41.65">
      <c r="A12" s="2" t="s">
        <v>118</v>
      </c>
      <c r="B12" s="2" t="s">
        <v>119</v>
      </c>
      <c r="C12" s="2" t="s">
        <v>120</v>
      </c>
      <c r="D12" s="2" t="s">
        <v>149</v>
      </c>
      <c r="E12" s="2" t="s">
        <v>150</v>
      </c>
      <c r="F12" s="2" t="s">
        <v>171</v>
      </c>
      <c r="G12" s="2" t="s">
        <v>172</v>
      </c>
      <c r="H12" s="2" t="s">
        <v>24</v>
      </c>
      <c r="I12" s="2" t="s">
        <v>153</v>
      </c>
      <c r="J12" s="2" t="s">
        <v>173</v>
      </c>
      <c r="K12" s="2" t="s">
        <v>174</v>
      </c>
      <c r="L12" s="2"/>
      <c r="M12" s="2"/>
      <c r="N12" s="2" t="str">
        <f t="shared" si="0"/>
        <v/>
      </c>
      <c r="O12" s="2"/>
      <c r="P12" s="2"/>
      <c r="Q12" s="2"/>
      <c r="R12" s="2"/>
      <c r="S12" s="2" t="s">
        <v>128</v>
      </c>
      <c r="T12" s="2"/>
      <c r="U12" s="2"/>
      <c r="V12" s="2" t="str">
        <f t="shared" si="1"/>
        <v/>
      </c>
      <c r="W12" t="str">
        <f>IF($P12="是",COUNTIF($P$2:$P12,"是"),"")</f>
        <v/>
      </c>
    </row>
    <row r="13" spans="1:23" ht="27.75">
      <c r="A13" s="2" t="s">
        <v>118</v>
      </c>
      <c r="B13" s="2" t="s">
        <v>119</v>
      </c>
      <c r="C13" s="2" t="s">
        <v>120</v>
      </c>
      <c r="D13" s="2" t="s">
        <v>149</v>
      </c>
      <c r="E13" s="2" t="s">
        <v>150</v>
      </c>
      <c r="F13" s="2" t="s">
        <v>175</v>
      </c>
      <c r="G13" s="2" t="s">
        <v>176</v>
      </c>
      <c r="H13" s="2" t="s">
        <v>27</v>
      </c>
      <c r="I13" s="2" t="s">
        <v>177</v>
      </c>
      <c r="J13" s="2" t="s">
        <v>178</v>
      </c>
      <c r="K13" s="2" t="s">
        <v>147</v>
      </c>
      <c r="L13" s="2"/>
      <c r="M13" s="2"/>
      <c r="N13" s="2" t="str">
        <f t="shared" si="0"/>
        <v/>
      </c>
      <c r="O13" s="2"/>
      <c r="P13" s="2"/>
      <c r="Q13" s="2"/>
      <c r="R13" s="2"/>
      <c r="S13" s="2" t="s">
        <v>128</v>
      </c>
      <c r="T13" s="2"/>
      <c r="U13" s="2"/>
      <c r="V13" s="2" t="str">
        <f t="shared" si="1"/>
        <v/>
      </c>
      <c r="W13" t="str">
        <f>IF($P13="是",COUNTIF($P$2:$P13,"是"),"")</f>
        <v/>
      </c>
    </row>
    <row r="14" spans="1:23" ht="27.75">
      <c r="A14" s="2" t="s">
        <v>118</v>
      </c>
      <c r="B14" s="2" t="s">
        <v>119</v>
      </c>
      <c r="C14" s="2" t="s">
        <v>120</v>
      </c>
      <c r="D14" s="2" t="s">
        <v>149</v>
      </c>
      <c r="E14" s="2" t="s">
        <v>150</v>
      </c>
      <c r="F14" s="2" t="s">
        <v>179</v>
      </c>
      <c r="G14" s="2" t="s">
        <v>180</v>
      </c>
      <c r="H14" s="2" t="s">
        <v>181</v>
      </c>
      <c r="I14" s="2" t="s">
        <v>182</v>
      </c>
      <c r="J14" s="2" t="s">
        <v>183</v>
      </c>
      <c r="K14" s="2" t="s">
        <v>184</v>
      </c>
      <c r="L14" s="2"/>
      <c r="M14" s="2"/>
      <c r="N14" s="2" t="str">
        <f t="shared" si="0"/>
        <v/>
      </c>
      <c r="O14" s="2"/>
      <c r="P14" s="2"/>
      <c r="Q14" s="2"/>
      <c r="R14" s="2"/>
      <c r="S14" s="2" t="s">
        <v>128</v>
      </c>
      <c r="T14" s="2"/>
      <c r="U14" s="2"/>
      <c r="V14" s="2" t="str">
        <f t="shared" si="1"/>
        <v/>
      </c>
      <c r="W14" t="str">
        <f>IF($P14="是",COUNTIF($P$2:$P14,"是"),"")</f>
        <v/>
      </c>
    </row>
    <row r="15" spans="1:23" ht="27.75">
      <c r="A15" s="2" t="s">
        <v>118</v>
      </c>
      <c r="B15" s="2" t="s">
        <v>119</v>
      </c>
      <c r="C15" s="2" t="s">
        <v>120</v>
      </c>
      <c r="D15" s="2" t="s">
        <v>185</v>
      </c>
      <c r="E15" s="2" t="s">
        <v>186</v>
      </c>
      <c r="F15" s="2" t="s">
        <v>187</v>
      </c>
      <c r="G15" s="2" t="s">
        <v>188</v>
      </c>
      <c r="H15" s="2" t="s">
        <v>21</v>
      </c>
      <c r="I15" s="2" t="s">
        <v>189</v>
      </c>
      <c r="J15" s="2" t="s">
        <v>190</v>
      </c>
      <c r="K15" s="2" t="s">
        <v>132</v>
      </c>
      <c r="L15" s="2"/>
      <c r="M15" s="2"/>
      <c r="N15" s="2" t="str">
        <f t="shared" si="0"/>
        <v/>
      </c>
      <c r="O15" s="2"/>
      <c r="P15" s="2"/>
      <c r="Q15" s="2"/>
      <c r="R15" s="2"/>
      <c r="S15" s="2" t="s">
        <v>128</v>
      </c>
      <c r="T15" s="2"/>
      <c r="U15" s="2"/>
      <c r="V15" s="2" t="str">
        <f t="shared" si="1"/>
        <v/>
      </c>
      <c r="W15" t="str">
        <f>IF($P15="是",COUNTIF($P$2:$P15,"是"),"")</f>
        <v/>
      </c>
    </row>
    <row r="16" spans="1:23" ht="27.75">
      <c r="A16" s="2" t="s">
        <v>118</v>
      </c>
      <c r="B16" s="2" t="s">
        <v>119</v>
      </c>
      <c r="C16" s="2" t="s">
        <v>120</v>
      </c>
      <c r="D16" s="2" t="s">
        <v>185</v>
      </c>
      <c r="E16" s="2" t="s">
        <v>186</v>
      </c>
      <c r="F16" s="2" t="s">
        <v>191</v>
      </c>
      <c r="G16" s="2" t="s">
        <v>192</v>
      </c>
      <c r="H16" s="2" t="s">
        <v>21</v>
      </c>
      <c r="I16" s="2" t="s">
        <v>189</v>
      </c>
      <c r="J16" s="2" t="s">
        <v>193</v>
      </c>
      <c r="K16" s="2" t="s">
        <v>158</v>
      </c>
      <c r="L16" s="2"/>
      <c r="M16" s="2"/>
      <c r="N16" s="2" t="str">
        <f t="shared" si="0"/>
        <v/>
      </c>
      <c r="O16" s="2"/>
      <c r="P16" s="2"/>
      <c r="Q16" s="2"/>
      <c r="R16" s="2"/>
      <c r="S16" s="2" t="s">
        <v>128</v>
      </c>
      <c r="T16" s="2"/>
      <c r="U16" s="2" t="s">
        <v>159</v>
      </c>
      <c r="V16" s="2" t="str">
        <f t="shared" si="1"/>
        <v/>
      </c>
      <c r="W16" t="str">
        <f>IF($P16="是",COUNTIF($P$2:$P16,"是"),"")</f>
        <v/>
      </c>
    </row>
    <row r="17" spans="1:23" ht="27.75">
      <c r="A17" s="2" t="s">
        <v>118</v>
      </c>
      <c r="B17" s="2" t="s">
        <v>119</v>
      </c>
      <c r="C17" s="2" t="s">
        <v>120</v>
      </c>
      <c r="D17" s="2" t="s">
        <v>185</v>
      </c>
      <c r="E17" s="2" t="s">
        <v>186</v>
      </c>
      <c r="F17" s="2" t="s">
        <v>194</v>
      </c>
      <c r="G17" s="2" t="s">
        <v>195</v>
      </c>
      <c r="H17" s="2" t="s">
        <v>21</v>
      </c>
      <c r="I17" s="2" t="s">
        <v>196</v>
      </c>
      <c r="J17" s="2" t="s">
        <v>197</v>
      </c>
      <c r="K17" s="2" t="s">
        <v>141</v>
      </c>
      <c r="L17" s="2"/>
      <c r="M17" s="2"/>
      <c r="N17" s="2" t="str">
        <f t="shared" si="0"/>
        <v/>
      </c>
      <c r="O17" s="2"/>
      <c r="P17" s="2"/>
      <c r="Q17" s="2"/>
      <c r="R17" s="2"/>
      <c r="S17" s="2" t="s">
        <v>128</v>
      </c>
      <c r="T17" s="2"/>
      <c r="U17" s="2"/>
      <c r="V17" s="2" t="str">
        <f t="shared" si="1"/>
        <v/>
      </c>
      <c r="W17" t="str">
        <f>IF($P17="是",COUNTIF($P$2:$P17,"是"),"")</f>
        <v/>
      </c>
    </row>
    <row r="18" spans="1:23" ht="27.75">
      <c r="A18" s="2" t="s">
        <v>118</v>
      </c>
      <c r="B18" s="2" t="s">
        <v>119</v>
      </c>
      <c r="C18" s="2" t="s">
        <v>120</v>
      </c>
      <c r="D18" s="2" t="s">
        <v>185</v>
      </c>
      <c r="E18" s="2" t="s">
        <v>186</v>
      </c>
      <c r="F18" s="2" t="s">
        <v>198</v>
      </c>
      <c r="G18" s="2" t="s">
        <v>199</v>
      </c>
      <c r="H18" s="2" t="s">
        <v>21</v>
      </c>
      <c r="I18" s="2" t="s">
        <v>189</v>
      </c>
      <c r="J18" s="2" t="s">
        <v>200</v>
      </c>
      <c r="K18" s="2" t="s">
        <v>201</v>
      </c>
      <c r="L18" s="2"/>
      <c r="M18" s="2"/>
      <c r="N18" s="2" t="str">
        <f t="shared" si="0"/>
        <v/>
      </c>
      <c r="O18" s="2"/>
      <c r="P18" s="2"/>
      <c r="Q18" s="2"/>
      <c r="R18" s="2"/>
      <c r="S18" s="2" t="s">
        <v>128</v>
      </c>
      <c r="T18" s="2"/>
      <c r="U18" s="2"/>
      <c r="V18" s="2" t="str">
        <f t="shared" si="1"/>
        <v/>
      </c>
      <c r="W18" t="str">
        <f>IF($P18="是",COUNTIF($P$2:$P18,"是"),"")</f>
        <v/>
      </c>
    </row>
    <row r="19" spans="1:23" ht="41.65">
      <c r="A19" s="2" t="s">
        <v>118</v>
      </c>
      <c r="B19" s="2" t="s">
        <v>119</v>
      </c>
      <c r="C19" s="2" t="s">
        <v>120</v>
      </c>
      <c r="D19" s="2" t="s">
        <v>185</v>
      </c>
      <c r="E19" s="2" t="s">
        <v>186</v>
      </c>
      <c r="F19" s="2" t="s">
        <v>202</v>
      </c>
      <c r="G19" s="2" t="s">
        <v>203</v>
      </c>
      <c r="H19" s="2" t="s">
        <v>168</v>
      </c>
      <c r="I19" s="2" t="s">
        <v>189</v>
      </c>
      <c r="J19" s="2" t="s">
        <v>204</v>
      </c>
      <c r="K19" s="2" t="s">
        <v>141</v>
      </c>
      <c r="L19" s="2"/>
      <c r="M19" s="2"/>
      <c r="N19" s="2" t="str">
        <f t="shared" si="0"/>
        <v/>
      </c>
      <c r="O19" s="2"/>
      <c r="P19" s="2"/>
      <c r="Q19" s="2"/>
      <c r="R19" s="2"/>
      <c r="S19" s="2" t="s">
        <v>128</v>
      </c>
      <c r="T19" s="2"/>
      <c r="U19" s="2"/>
      <c r="V19" s="2" t="str">
        <f t="shared" si="1"/>
        <v/>
      </c>
      <c r="W19" t="str">
        <f>IF($P19="是",COUNTIF($P$2:$P19,"是"),"")</f>
        <v/>
      </c>
    </row>
    <row r="20" spans="1:23" ht="27.75">
      <c r="A20" s="2" t="s">
        <v>118</v>
      </c>
      <c r="B20" s="2" t="s">
        <v>119</v>
      </c>
      <c r="C20" s="2" t="s">
        <v>120</v>
      </c>
      <c r="D20" s="2" t="s">
        <v>185</v>
      </c>
      <c r="E20" s="2" t="s">
        <v>186</v>
      </c>
      <c r="F20" s="2" t="s">
        <v>205</v>
      </c>
      <c r="G20" s="2" t="s">
        <v>206</v>
      </c>
      <c r="H20" s="2" t="s">
        <v>168</v>
      </c>
      <c r="I20" s="2" t="s">
        <v>189</v>
      </c>
      <c r="J20" s="2" t="s">
        <v>207</v>
      </c>
      <c r="K20" s="2" t="s">
        <v>137</v>
      </c>
      <c r="L20" s="2"/>
      <c r="M20" s="2"/>
      <c r="N20" s="2" t="str">
        <f t="shared" si="0"/>
        <v/>
      </c>
      <c r="O20" s="2"/>
      <c r="P20" s="2"/>
      <c r="Q20" s="2"/>
      <c r="R20" s="2"/>
      <c r="S20" s="2" t="s">
        <v>128</v>
      </c>
      <c r="T20" s="2"/>
      <c r="U20" s="2"/>
      <c r="V20" s="2" t="str">
        <f t="shared" si="1"/>
        <v/>
      </c>
      <c r="W20" t="str">
        <f>IF($P20="是",COUNTIF($P$2:$P20,"是"),"")</f>
        <v/>
      </c>
    </row>
    <row r="21" spans="1:23" ht="27.75">
      <c r="A21" s="2" t="s">
        <v>118</v>
      </c>
      <c r="B21" s="2" t="s">
        <v>119</v>
      </c>
      <c r="C21" s="2" t="s">
        <v>120</v>
      </c>
      <c r="D21" s="2" t="s">
        <v>185</v>
      </c>
      <c r="E21" s="2" t="s">
        <v>186</v>
      </c>
      <c r="F21" s="2" t="s">
        <v>208</v>
      </c>
      <c r="G21" s="2" t="s">
        <v>209</v>
      </c>
      <c r="H21" s="2" t="s">
        <v>27</v>
      </c>
      <c r="I21" s="2" t="s">
        <v>210</v>
      </c>
      <c r="J21" s="2" t="s">
        <v>211</v>
      </c>
      <c r="K21" s="2" t="s">
        <v>147</v>
      </c>
      <c r="L21" s="2"/>
      <c r="M21" s="2"/>
      <c r="N21" s="2" t="str">
        <f t="shared" si="0"/>
        <v/>
      </c>
      <c r="O21" s="2"/>
      <c r="P21" s="2"/>
      <c r="Q21" s="2"/>
      <c r="R21" s="2"/>
      <c r="S21" s="2" t="s">
        <v>128</v>
      </c>
      <c r="T21" s="2"/>
      <c r="U21" s="2"/>
      <c r="V21" s="2" t="str">
        <f t="shared" si="1"/>
        <v/>
      </c>
      <c r="W21" t="str">
        <f>IF($P21="是",COUNTIF($P$2:$P21,"是"),"")</f>
        <v/>
      </c>
    </row>
    <row r="22" spans="1:23" ht="27.75">
      <c r="A22" s="2" t="s">
        <v>118</v>
      </c>
      <c r="B22" s="2" t="s">
        <v>119</v>
      </c>
      <c r="C22" s="2" t="s">
        <v>120</v>
      </c>
      <c r="D22" s="2" t="s">
        <v>185</v>
      </c>
      <c r="E22" s="2" t="s">
        <v>186</v>
      </c>
      <c r="F22" s="2" t="s">
        <v>212</v>
      </c>
      <c r="G22" s="2" t="s">
        <v>213</v>
      </c>
      <c r="H22" s="2" t="s">
        <v>214</v>
      </c>
      <c r="I22" s="2" t="s">
        <v>189</v>
      </c>
      <c r="J22" s="2" t="s">
        <v>215</v>
      </c>
      <c r="K22" s="2" t="s">
        <v>147</v>
      </c>
      <c r="L22" s="2"/>
      <c r="M22" s="2"/>
      <c r="N22" s="2" t="str">
        <f t="shared" si="0"/>
        <v/>
      </c>
      <c r="O22" s="2"/>
      <c r="P22" s="2"/>
      <c r="Q22" s="2"/>
      <c r="R22" s="2"/>
      <c r="S22" s="2" t="s">
        <v>128</v>
      </c>
      <c r="T22" s="2"/>
      <c r="U22" s="2"/>
      <c r="V22" s="2" t="str">
        <f t="shared" si="1"/>
        <v/>
      </c>
      <c r="W22" t="str">
        <f>IF($P22="是",COUNTIF($P$2:$P22,"是"),"")</f>
        <v/>
      </c>
    </row>
    <row r="23" spans="1:23" ht="27.75">
      <c r="A23" s="2" t="s">
        <v>118</v>
      </c>
      <c r="B23" s="2" t="s">
        <v>119</v>
      </c>
      <c r="C23" s="2" t="s">
        <v>120</v>
      </c>
      <c r="D23" s="2" t="s">
        <v>185</v>
      </c>
      <c r="E23" s="2" t="s">
        <v>186</v>
      </c>
      <c r="F23" s="2" t="s">
        <v>216</v>
      </c>
      <c r="G23" s="2" t="s">
        <v>217</v>
      </c>
      <c r="H23" s="2" t="s">
        <v>144</v>
      </c>
      <c r="I23" s="2" t="s">
        <v>218</v>
      </c>
      <c r="J23" s="2" t="s">
        <v>219</v>
      </c>
      <c r="K23" s="2" t="s">
        <v>184</v>
      </c>
      <c r="L23" s="2"/>
      <c r="M23" s="2"/>
      <c r="N23" s="2" t="str">
        <f t="shared" si="0"/>
        <v/>
      </c>
      <c r="O23" s="2"/>
      <c r="P23" s="2"/>
      <c r="Q23" s="2"/>
      <c r="R23" s="2"/>
      <c r="S23" s="2" t="s">
        <v>128</v>
      </c>
      <c r="T23" s="2"/>
      <c r="U23" s="2"/>
      <c r="V23" s="2" t="str">
        <f t="shared" si="1"/>
        <v/>
      </c>
      <c r="W23" t="str">
        <f>IF($P23="是",COUNTIF($P$2:$P23,"是"),"")</f>
        <v/>
      </c>
    </row>
    <row r="24" spans="1:23" ht="27.75">
      <c r="A24" s="2" t="s">
        <v>118</v>
      </c>
      <c r="B24" s="2" t="s">
        <v>119</v>
      </c>
      <c r="C24" s="2" t="s">
        <v>120</v>
      </c>
      <c r="D24" s="2" t="s">
        <v>220</v>
      </c>
      <c r="E24" s="2" t="s">
        <v>221</v>
      </c>
      <c r="F24" s="2" t="s">
        <v>222</v>
      </c>
      <c r="G24" s="2" t="s">
        <v>223</v>
      </c>
      <c r="H24" s="2" t="s">
        <v>21</v>
      </c>
      <c r="I24" s="2" t="s">
        <v>224</v>
      </c>
      <c r="J24" s="2" t="s">
        <v>225</v>
      </c>
      <c r="K24" s="2" t="s">
        <v>141</v>
      </c>
      <c r="L24" s="2"/>
      <c r="M24" s="2"/>
      <c r="N24" s="2" t="str">
        <f t="shared" si="0"/>
        <v/>
      </c>
      <c r="O24" s="2"/>
      <c r="P24" s="2"/>
      <c r="Q24" s="2"/>
      <c r="R24" s="2"/>
      <c r="S24" s="2" t="s">
        <v>128</v>
      </c>
      <c r="T24" s="2"/>
      <c r="U24" s="2"/>
      <c r="V24" s="2" t="str">
        <f t="shared" si="1"/>
        <v/>
      </c>
      <c r="W24" t="str">
        <f>IF($P24="是",COUNTIF($P$2:$P24,"是"),"")</f>
        <v/>
      </c>
    </row>
    <row r="25" spans="1:23" ht="27.75">
      <c r="A25" s="2" t="s">
        <v>118</v>
      </c>
      <c r="B25" s="2" t="s">
        <v>119</v>
      </c>
      <c r="C25" s="2" t="s">
        <v>120</v>
      </c>
      <c r="D25" s="2" t="s">
        <v>220</v>
      </c>
      <c r="E25" s="2" t="s">
        <v>221</v>
      </c>
      <c r="F25" s="2" t="s">
        <v>226</v>
      </c>
      <c r="G25" s="2" t="s">
        <v>227</v>
      </c>
      <c r="H25" s="2" t="s">
        <v>21</v>
      </c>
      <c r="I25" s="2" t="s">
        <v>224</v>
      </c>
      <c r="J25" s="2" t="s">
        <v>228</v>
      </c>
      <c r="K25" s="2" t="s">
        <v>137</v>
      </c>
      <c r="L25" s="2"/>
      <c r="M25" s="2"/>
      <c r="N25" s="2" t="str">
        <f t="shared" si="0"/>
        <v/>
      </c>
      <c r="O25" s="2"/>
      <c r="P25" s="2"/>
      <c r="Q25" s="2"/>
      <c r="R25" s="2"/>
      <c r="S25" s="2" t="s">
        <v>128</v>
      </c>
      <c r="T25" s="2"/>
      <c r="U25" s="2"/>
      <c r="V25" s="2" t="str">
        <f t="shared" si="1"/>
        <v/>
      </c>
      <c r="W25" t="str">
        <f>IF($P25="是",COUNTIF($P$2:$P25,"是"),"")</f>
        <v/>
      </c>
    </row>
    <row r="26" spans="1:23" ht="27.75">
      <c r="A26" s="2" t="s">
        <v>118</v>
      </c>
      <c r="B26" s="2" t="s">
        <v>119</v>
      </c>
      <c r="C26" s="2" t="s">
        <v>120</v>
      </c>
      <c r="D26" s="2" t="s">
        <v>220</v>
      </c>
      <c r="E26" s="2" t="s">
        <v>221</v>
      </c>
      <c r="F26" s="2" t="s">
        <v>229</v>
      </c>
      <c r="G26" s="2" t="s">
        <v>230</v>
      </c>
      <c r="H26" s="2" t="s">
        <v>21</v>
      </c>
      <c r="I26" s="2" t="s">
        <v>224</v>
      </c>
      <c r="J26" s="2" t="s">
        <v>231</v>
      </c>
      <c r="K26" s="2" t="s">
        <v>141</v>
      </c>
      <c r="L26" s="2"/>
      <c r="M26" s="2"/>
      <c r="N26" s="2" t="str">
        <f t="shared" si="0"/>
        <v/>
      </c>
      <c r="O26" s="2"/>
      <c r="P26" s="2"/>
      <c r="Q26" s="2"/>
      <c r="R26" s="2"/>
      <c r="S26" s="2" t="s">
        <v>128</v>
      </c>
      <c r="T26" s="2"/>
      <c r="U26" s="2" t="s">
        <v>232</v>
      </c>
      <c r="V26" s="2" t="str">
        <f t="shared" si="1"/>
        <v/>
      </c>
      <c r="W26" t="str">
        <f>IF($P26="是",COUNTIF($P$2:$P26,"是"),"")</f>
        <v/>
      </c>
    </row>
    <row r="27" spans="1:23" ht="27.75">
      <c r="A27" s="2" t="s">
        <v>118</v>
      </c>
      <c r="B27" s="2" t="s">
        <v>119</v>
      </c>
      <c r="C27" s="2" t="s">
        <v>120</v>
      </c>
      <c r="D27" s="2" t="s">
        <v>220</v>
      </c>
      <c r="E27" s="2" t="s">
        <v>221</v>
      </c>
      <c r="F27" s="2" t="s">
        <v>233</v>
      </c>
      <c r="G27" s="2" t="s">
        <v>234</v>
      </c>
      <c r="H27" s="2" t="s">
        <v>21</v>
      </c>
      <c r="I27" s="2" t="s">
        <v>224</v>
      </c>
      <c r="J27" s="2" t="s">
        <v>235</v>
      </c>
      <c r="K27" s="2" t="s">
        <v>137</v>
      </c>
      <c r="L27" s="2"/>
      <c r="M27" s="2"/>
      <c r="N27" s="2" t="str">
        <f t="shared" si="0"/>
        <v/>
      </c>
      <c r="O27" s="2"/>
      <c r="P27" s="2"/>
      <c r="Q27" s="2"/>
      <c r="R27" s="2"/>
      <c r="S27" s="2" t="s">
        <v>128</v>
      </c>
      <c r="T27" s="2"/>
      <c r="U27" s="2"/>
      <c r="V27" s="2" t="str">
        <f t="shared" si="1"/>
        <v/>
      </c>
      <c r="W27" t="str">
        <f>IF($P27="是",COUNTIF($P$2:$P27,"是"),"")</f>
        <v/>
      </c>
    </row>
    <row r="28" spans="1:23" ht="27.75">
      <c r="A28" s="2" t="s">
        <v>118</v>
      </c>
      <c r="B28" s="2" t="s">
        <v>119</v>
      </c>
      <c r="C28" s="2" t="s">
        <v>120</v>
      </c>
      <c r="D28" s="2" t="s">
        <v>220</v>
      </c>
      <c r="E28" s="2" t="s">
        <v>221</v>
      </c>
      <c r="F28" s="2" t="s">
        <v>236</v>
      </c>
      <c r="G28" s="2" t="s">
        <v>237</v>
      </c>
      <c r="H28" s="2" t="s">
        <v>24</v>
      </c>
      <c r="I28" s="2" t="s">
        <v>224</v>
      </c>
      <c r="J28" s="2" t="s">
        <v>238</v>
      </c>
      <c r="K28" s="2" t="s">
        <v>170</v>
      </c>
      <c r="L28" s="2"/>
      <c r="M28" s="2"/>
      <c r="N28" s="2" t="str">
        <f t="shared" si="0"/>
        <v/>
      </c>
      <c r="O28" s="2"/>
      <c r="P28" s="2"/>
      <c r="Q28" s="2"/>
      <c r="R28" s="2"/>
      <c r="S28" s="2" t="s">
        <v>128</v>
      </c>
      <c r="T28" s="2"/>
      <c r="U28" s="2"/>
      <c r="V28" s="2" t="str">
        <f t="shared" si="1"/>
        <v/>
      </c>
      <c r="W28" t="str">
        <f>IF($P28="是",COUNTIF($P$2:$P28,"是"),"")</f>
        <v/>
      </c>
    </row>
    <row r="29" spans="1:23" ht="27.75">
      <c r="A29" s="2" t="s">
        <v>118</v>
      </c>
      <c r="B29" s="2" t="s">
        <v>119</v>
      </c>
      <c r="C29" s="2" t="s">
        <v>120</v>
      </c>
      <c r="D29" s="2" t="s">
        <v>220</v>
      </c>
      <c r="E29" s="2" t="s">
        <v>221</v>
      </c>
      <c r="F29" s="2" t="s">
        <v>239</v>
      </c>
      <c r="G29" s="2" t="s">
        <v>240</v>
      </c>
      <c r="H29" s="2" t="s">
        <v>168</v>
      </c>
      <c r="I29" s="2" t="s">
        <v>224</v>
      </c>
      <c r="J29" s="2" t="s">
        <v>241</v>
      </c>
      <c r="K29" s="2" t="s">
        <v>201</v>
      </c>
      <c r="L29" s="2"/>
      <c r="M29" s="2"/>
      <c r="N29" s="2" t="str">
        <f t="shared" si="0"/>
        <v/>
      </c>
      <c r="O29" s="2"/>
      <c r="P29" s="2"/>
      <c r="Q29" s="2"/>
      <c r="R29" s="2"/>
      <c r="S29" s="2" t="s">
        <v>128</v>
      </c>
      <c r="T29" s="2"/>
      <c r="U29" s="2" t="s">
        <v>242</v>
      </c>
      <c r="V29" s="2" t="str">
        <f t="shared" si="1"/>
        <v/>
      </c>
      <c r="W29" t="str">
        <f>IF($P29="是",COUNTIF($P$2:$P29,"是"),"")</f>
        <v/>
      </c>
    </row>
    <row r="30" spans="1:23" ht="27.75">
      <c r="A30" s="2" t="s">
        <v>118</v>
      </c>
      <c r="B30" s="2" t="s">
        <v>119</v>
      </c>
      <c r="C30" s="2" t="s">
        <v>120</v>
      </c>
      <c r="D30" s="2" t="s">
        <v>220</v>
      </c>
      <c r="E30" s="2" t="s">
        <v>221</v>
      </c>
      <c r="F30" s="2" t="s">
        <v>243</v>
      </c>
      <c r="G30" s="2" t="s">
        <v>244</v>
      </c>
      <c r="H30" s="2" t="s">
        <v>27</v>
      </c>
      <c r="I30" s="2" t="s">
        <v>245</v>
      </c>
      <c r="J30" s="2" t="s">
        <v>246</v>
      </c>
      <c r="K30" s="2" t="s">
        <v>147</v>
      </c>
      <c r="L30" s="2"/>
      <c r="M30" s="2"/>
      <c r="N30" s="2" t="str">
        <f t="shared" si="0"/>
        <v/>
      </c>
      <c r="O30" s="2"/>
      <c r="P30" s="2"/>
      <c r="Q30" s="2"/>
      <c r="R30" s="2"/>
      <c r="S30" s="2" t="s">
        <v>128</v>
      </c>
      <c r="T30" s="2"/>
      <c r="U30" s="2"/>
      <c r="V30" s="2" t="str">
        <f t="shared" si="1"/>
        <v/>
      </c>
      <c r="W30" t="str">
        <f>IF($P30="是",COUNTIF($P$2:$P30,"是"),"")</f>
        <v/>
      </c>
    </row>
    <row r="31" spans="1:23" ht="27.75">
      <c r="A31" s="2" t="s">
        <v>118</v>
      </c>
      <c r="B31" s="2" t="s">
        <v>119</v>
      </c>
      <c r="C31" s="2" t="s">
        <v>120</v>
      </c>
      <c r="D31" s="2" t="s">
        <v>220</v>
      </c>
      <c r="E31" s="2" t="s">
        <v>221</v>
      </c>
      <c r="F31" s="2" t="s">
        <v>247</v>
      </c>
      <c r="G31" s="2" t="s">
        <v>248</v>
      </c>
      <c r="H31" s="2" t="s">
        <v>249</v>
      </c>
      <c r="I31" s="2" t="s">
        <v>250</v>
      </c>
      <c r="J31" s="2" t="s">
        <v>251</v>
      </c>
      <c r="K31" s="2" t="s">
        <v>158</v>
      </c>
      <c r="L31" s="2"/>
      <c r="M31" s="2"/>
      <c r="N31" s="2" t="str">
        <f t="shared" si="0"/>
        <v/>
      </c>
      <c r="O31" s="2"/>
      <c r="P31" s="2"/>
      <c r="Q31" s="2"/>
      <c r="R31" s="2"/>
      <c r="S31" s="2" t="s">
        <v>128</v>
      </c>
      <c r="T31" s="2"/>
      <c r="U31" s="2"/>
      <c r="V31" s="2" t="str">
        <f t="shared" si="1"/>
        <v/>
      </c>
      <c r="W31" t="str">
        <f>IF($P31="是",COUNTIF($P$2:$P31,"是"),"")</f>
        <v/>
      </c>
    </row>
    <row r="32" spans="1:23" ht="27.75">
      <c r="A32" s="2" t="s">
        <v>118</v>
      </c>
      <c r="B32" s="2" t="s">
        <v>119</v>
      </c>
      <c r="C32" s="2" t="s">
        <v>120</v>
      </c>
      <c r="D32" s="2" t="s">
        <v>220</v>
      </c>
      <c r="E32" s="2" t="s">
        <v>221</v>
      </c>
      <c r="F32" s="2" t="s">
        <v>252</v>
      </c>
      <c r="G32" s="2" t="s">
        <v>253</v>
      </c>
      <c r="H32" s="2" t="s">
        <v>144</v>
      </c>
      <c r="I32" s="2" t="s">
        <v>254</v>
      </c>
      <c r="J32" s="2" t="s">
        <v>255</v>
      </c>
      <c r="K32" s="2" t="s">
        <v>184</v>
      </c>
      <c r="L32" s="2"/>
      <c r="M32" s="2"/>
      <c r="N32" s="2" t="str">
        <f t="shared" si="0"/>
        <v/>
      </c>
      <c r="O32" s="2"/>
      <c r="P32" s="2"/>
      <c r="Q32" s="2"/>
      <c r="R32" s="2"/>
      <c r="S32" s="2" t="s">
        <v>128</v>
      </c>
      <c r="T32" s="2"/>
      <c r="U32" s="2"/>
      <c r="V32" s="2" t="str">
        <f t="shared" si="1"/>
        <v/>
      </c>
      <c r="W32" t="str">
        <f>IF($P32="是",COUNTIF($P$2:$P32,"是"),"")</f>
        <v/>
      </c>
    </row>
    <row r="33" spans="1:23" ht="27.75">
      <c r="A33" s="2" t="s">
        <v>118</v>
      </c>
      <c r="B33" s="2" t="s">
        <v>119</v>
      </c>
      <c r="C33" s="2" t="s">
        <v>120</v>
      </c>
      <c r="D33" s="2" t="s">
        <v>256</v>
      </c>
      <c r="E33" s="2" t="s">
        <v>257</v>
      </c>
      <c r="F33" s="2" t="s">
        <v>258</v>
      </c>
      <c r="G33" s="2" t="s">
        <v>259</v>
      </c>
      <c r="H33" s="2" t="s">
        <v>21</v>
      </c>
      <c r="I33" s="2" t="s">
        <v>260</v>
      </c>
      <c r="J33" s="2" t="s">
        <v>261</v>
      </c>
      <c r="K33" s="2" t="s">
        <v>132</v>
      </c>
      <c r="L33" s="2"/>
      <c r="M33" s="2"/>
      <c r="N33" s="2" t="str">
        <f t="shared" si="0"/>
        <v/>
      </c>
      <c r="O33" s="2"/>
      <c r="P33" s="2"/>
      <c r="Q33" s="2"/>
      <c r="R33" s="2"/>
      <c r="S33" s="2" t="s">
        <v>128</v>
      </c>
      <c r="T33" s="2"/>
      <c r="U33" s="2"/>
      <c r="V33" s="2" t="str">
        <f t="shared" si="1"/>
        <v/>
      </c>
      <c r="W33" t="str">
        <f>IF($P33="是",COUNTIF($P$2:$P33,"是"),"")</f>
        <v/>
      </c>
    </row>
    <row r="34" spans="1:23" ht="27.75">
      <c r="A34" s="2" t="s">
        <v>118</v>
      </c>
      <c r="B34" s="2" t="s">
        <v>119</v>
      </c>
      <c r="C34" s="2" t="s">
        <v>120</v>
      </c>
      <c r="D34" s="2" t="s">
        <v>256</v>
      </c>
      <c r="E34" s="2" t="s">
        <v>257</v>
      </c>
      <c r="F34" s="2" t="s">
        <v>262</v>
      </c>
      <c r="G34" s="2" t="s">
        <v>263</v>
      </c>
      <c r="H34" s="2" t="s">
        <v>21</v>
      </c>
      <c r="I34" s="2" t="s">
        <v>264</v>
      </c>
      <c r="J34" s="2" t="s">
        <v>265</v>
      </c>
      <c r="K34" s="2" t="s">
        <v>201</v>
      </c>
      <c r="L34" s="2"/>
      <c r="M34" s="2"/>
      <c r="N34" s="2" t="str">
        <f t="shared" si="0"/>
        <v/>
      </c>
      <c r="O34" s="2"/>
      <c r="P34" s="2"/>
      <c r="Q34" s="2"/>
      <c r="R34" s="2"/>
      <c r="S34" s="2" t="s">
        <v>128</v>
      </c>
      <c r="T34" s="2"/>
      <c r="U34" s="2" t="s">
        <v>232</v>
      </c>
      <c r="V34" s="2" t="str">
        <f t="shared" si="1"/>
        <v/>
      </c>
      <c r="W34" t="str">
        <f>IF($P34="是",COUNTIF($P$2:$P34,"是"),"")</f>
        <v/>
      </c>
    </row>
    <row r="35" spans="1:23" ht="27.75">
      <c r="A35" s="2" t="s">
        <v>118</v>
      </c>
      <c r="B35" s="2" t="s">
        <v>119</v>
      </c>
      <c r="C35" s="2" t="s">
        <v>120</v>
      </c>
      <c r="D35" s="2" t="s">
        <v>256</v>
      </c>
      <c r="E35" s="2" t="s">
        <v>257</v>
      </c>
      <c r="F35" s="2" t="s">
        <v>266</v>
      </c>
      <c r="G35" s="2" t="s">
        <v>267</v>
      </c>
      <c r="H35" s="2" t="s">
        <v>21</v>
      </c>
      <c r="I35" s="2" t="s">
        <v>260</v>
      </c>
      <c r="J35" s="2" t="s">
        <v>268</v>
      </c>
      <c r="K35" s="2" t="s">
        <v>137</v>
      </c>
      <c r="L35" s="2"/>
      <c r="M35" s="2"/>
      <c r="N35" s="2" t="str">
        <f t="shared" si="0"/>
        <v/>
      </c>
      <c r="O35" s="2"/>
      <c r="P35" s="2"/>
      <c r="Q35" s="2"/>
      <c r="R35" s="2"/>
      <c r="S35" s="2" t="s">
        <v>128</v>
      </c>
      <c r="T35" s="2"/>
      <c r="U35" s="2"/>
      <c r="V35" s="2" t="str">
        <f t="shared" si="1"/>
        <v/>
      </c>
      <c r="W35" t="str">
        <f>IF($P35="是",COUNTIF($P$2:$P35,"是"),"")</f>
        <v/>
      </c>
    </row>
    <row r="36" spans="1:23" ht="27.75">
      <c r="A36" s="2" t="s">
        <v>118</v>
      </c>
      <c r="B36" s="2" t="s">
        <v>119</v>
      </c>
      <c r="C36" s="2" t="s">
        <v>120</v>
      </c>
      <c r="D36" s="2" t="s">
        <v>256</v>
      </c>
      <c r="E36" s="2" t="s">
        <v>257</v>
      </c>
      <c r="F36" s="2" t="s">
        <v>269</v>
      </c>
      <c r="G36" s="2" t="s">
        <v>270</v>
      </c>
      <c r="H36" s="2" t="s">
        <v>21</v>
      </c>
      <c r="I36" s="2" t="s">
        <v>260</v>
      </c>
      <c r="J36" s="2" t="s">
        <v>271</v>
      </c>
      <c r="K36" s="2" t="s">
        <v>141</v>
      </c>
      <c r="L36" s="2"/>
      <c r="M36" s="2"/>
      <c r="N36" s="2" t="str">
        <f t="shared" si="0"/>
        <v/>
      </c>
      <c r="O36" s="2"/>
      <c r="P36" s="2"/>
      <c r="Q36" s="2"/>
      <c r="R36" s="2"/>
      <c r="S36" s="2" t="s">
        <v>128</v>
      </c>
      <c r="T36" s="2"/>
      <c r="U36" s="2"/>
      <c r="V36" s="2" t="str">
        <f t="shared" si="1"/>
        <v/>
      </c>
      <c r="W36" t="str">
        <f>IF($P36="是",COUNTIF($P$2:$P36,"是"),"")</f>
        <v/>
      </c>
    </row>
    <row r="37" spans="1:23" ht="27.75">
      <c r="A37" s="2" t="s">
        <v>118</v>
      </c>
      <c r="B37" s="2" t="s">
        <v>119</v>
      </c>
      <c r="C37" s="2" t="s">
        <v>120</v>
      </c>
      <c r="D37" s="2" t="s">
        <v>256</v>
      </c>
      <c r="E37" s="2" t="s">
        <v>257</v>
      </c>
      <c r="F37" s="2" t="s">
        <v>272</v>
      </c>
      <c r="G37" s="2" t="s">
        <v>273</v>
      </c>
      <c r="H37" s="2" t="s">
        <v>21</v>
      </c>
      <c r="I37" s="2" t="s">
        <v>264</v>
      </c>
      <c r="J37" s="2" t="s">
        <v>274</v>
      </c>
      <c r="K37" s="2" t="s">
        <v>141</v>
      </c>
      <c r="L37" s="2"/>
      <c r="M37" s="2"/>
      <c r="N37" s="2" t="str">
        <f t="shared" si="0"/>
        <v/>
      </c>
      <c r="O37" s="2"/>
      <c r="P37" s="2"/>
      <c r="Q37" s="2"/>
      <c r="R37" s="2"/>
      <c r="S37" s="2" t="s">
        <v>128</v>
      </c>
      <c r="T37" s="2"/>
      <c r="U37" s="2"/>
      <c r="V37" s="2" t="str">
        <f t="shared" si="1"/>
        <v/>
      </c>
      <c r="W37" t="str">
        <f>IF($P37="是",COUNTIF($P$2:$P37,"是"),"")</f>
        <v/>
      </c>
    </row>
    <row r="38" spans="1:23" ht="27.75">
      <c r="A38" s="2" t="s">
        <v>118</v>
      </c>
      <c r="B38" s="2" t="s">
        <v>119</v>
      </c>
      <c r="C38" s="2" t="s">
        <v>120</v>
      </c>
      <c r="D38" s="2" t="s">
        <v>256</v>
      </c>
      <c r="E38" s="2" t="s">
        <v>257</v>
      </c>
      <c r="F38" s="2" t="s">
        <v>275</v>
      </c>
      <c r="G38" s="2" t="s">
        <v>276</v>
      </c>
      <c r="H38" s="2" t="s">
        <v>21</v>
      </c>
      <c r="I38" s="2" t="s">
        <v>277</v>
      </c>
      <c r="J38" s="2" t="s">
        <v>278</v>
      </c>
      <c r="K38" s="2" t="s">
        <v>141</v>
      </c>
      <c r="L38" s="2"/>
      <c r="M38" s="2"/>
      <c r="N38" s="2" t="str">
        <f t="shared" si="0"/>
        <v/>
      </c>
      <c r="O38" s="2"/>
      <c r="P38" s="2"/>
      <c r="Q38" s="2"/>
      <c r="R38" s="2"/>
      <c r="S38" s="2" t="s">
        <v>128</v>
      </c>
      <c r="T38" s="2"/>
      <c r="U38" s="2"/>
      <c r="V38" s="2" t="str">
        <f t="shared" si="1"/>
        <v/>
      </c>
      <c r="W38" t="str">
        <f>IF($P38="是",COUNTIF($P$2:$P38,"是"),"")</f>
        <v/>
      </c>
    </row>
    <row r="39" spans="1:23" ht="27.75">
      <c r="A39" s="2" t="s">
        <v>118</v>
      </c>
      <c r="B39" s="2" t="s">
        <v>119</v>
      </c>
      <c r="C39" s="2" t="s">
        <v>120</v>
      </c>
      <c r="D39" s="2" t="s">
        <v>256</v>
      </c>
      <c r="E39" s="2" t="s">
        <v>257</v>
      </c>
      <c r="F39" s="2" t="s">
        <v>279</v>
      </c>
      <c r="G39" s="2" t="s">
        <v>280</v>
      </c>
      <c r="H39" s="2" t="s">
        <v>24</v>
      </c>
      <c r="I39" s="2" t="s">
        <v>260</v>
      </c>
      <c r="J39" s="2" t="s">
        <v>281</v>
      </c>
      <c r="K39" s="2" t="s">
        <v>201</v>
      </c>
      <c r="L39" s="2"/>
      <c r="M39" s="2"/>
      <c r="N39" s="2" t="str">
        <f t="shared" si="0"/>
        <v/>
      </c>
      <c r="O39" s="2"/>
      <c r="P39" s="2"/>
      <c r="Q39" s="2"/>
      <c r="R39" s="2"/>
      <c r="S39" s="2" t="s">
        <v>128</v>
      </c>
      <c r="T39" s="2"/>
      <c r="U39" s="2"/>
      <c r="V39" s="2" t="str">
        <f t="shared" si="1"/>
        <v/>
      </c>
      <c r="W39" t="str">
        <f>IF($P39="是",COUNTIF($P$2:$P39,"是"),"")</f>
        <v/>
      </c>
    </row>
    <row r="40" spans="1:23" ht="27.75">
      <c r="A40" s="2" t="s">
        <v>118</v>
      </c>
      <c r="B40" s="2" t="s">
        <v>119</v>
      </c>
      <c r="C40" s="2" t="s">
        <v>120</v>
      </c>
      <c r="D40" s="2" t="s">
        <v>256</v>
      </c>
      <c r="E40" s="2" t="s">
        <v>257</v>
      </c>
      <c r="F40" s="2" t="s">
        <v>282</v>
      </c>
      <c r="G40" s="2" t="s">
        <v>283</v>
      </c>
      <c r="H40" s="2" t="s">
        <v>214</v>
      </c>
      <c r="I40" s="2" t="s">
        <v>284</v>
      </c>
      <c r="J40" s="2" t="s">
        <v>285</v>
      </c>
      <c r="K40" s="2" t="s">
        <v>184</v>
      </c>
      <c r="L40" s="2"/>
      <c r="M40" s="2"/>
      <c r="N40" s="2" t="str">
        <f t="shared" si="0"/>
        <v/>
      </c>
      <c r="O40" s="2"/>
      <c r="P40" s="2"/>
      <c r="Q40" s="2"/>
      <c r="R40" s="2"/>
      <c r="S40" s="2" t="s">
        <v>128</v>
      </c>
      <c r="T40" s="2"/>
      <c r="U40" s="2"/>
      <c r="V40" s="2" t="str">
        <f t="shared" si="1"/>
        <v/>
      </c>
      <c r="W40" t="str">
        <f>IF($P40="是",COUNTIF($P$2:$P40,"是"),"")</f>
        <v/>
      </c>
    </row>
    <row r="41" spans="1:23" ht="27.75">
      <c r="A41" s="2" t="s">
        <v>118</v>
      </c>
      <c r="B41" s="2" t="s">
        <v>119</v>
      </c>
      <c r="C41" s="2" t="s">
        <v>120</v>
      </c>
      <c r="D41" s="2" t="s">
        <v>286</v>
      </c>
      <c r="E41" s="2" t="s">
        <v>287</v>
      </c>
      <c r="F41" s="2" t="s">
        <v>288</v>
      </c>
      <c r="G41" s="2" t="s">
        <v>289</v>
      </c>
      <c r="H41" s="2" t="s">
        <v>21</v>
      </c>
      <c r="I41" s="2" t="s">
        <v>290</v>
      </c>
      <c r="J41" s="2" t="s">
        <v>291</v>
      </c>
      <c r="K41" s="2" t="s">
        <v>137</v>
      </c>
      <c r="L41" s="2"/>
      <c r="M41" s="2"/>
      <c r="N41" s="2" t="str">
        <f t="shared" si="0"/>
        <v/>
      </c>
      <c r="O41" s="2"/>
      <c r="P41" s="2"/>
      <c r="Q41" s="2"/>
      <c r="R41" s="2"/>
      <c r="S41" s="2" t="s">
        <v>128</v>
      </c>
      <c r="T41" s="2"/>
      <c r="U41" s="2"/>
      <c r="V41" s="2" t="str">
        <f t="shared" si="1"/>
        <v/>
      </c>
      <c r="W41" t="str">
        <f>IF($P41="是",COUNTIF($P$2:$P41,"是"),"")</f>
        <v/>
      </c>
    </row>
    <row r="42" spans="1:23" ht="27.75">
      <c r="A42" s="2" t="s">
        <v>118</v>
      </c>
      <c r="B42" s="2" t="s">
        <v>119</v>
      </c>
      <c r="C42" s="2" t="s">
        <v>120</v>
      </c>
      <c r="D42" s="2" t="s">
        <v>286</v>
      </c>
      <c r="E42" s="2" t="s">
        <v>287</v>
      </c>
      <c r="F42" s="2" t="s">
        <v>292</v>
      </c>
      <c r="G42" s="2" t="s">
        <v>293</v>
      </c>
      <c r="H42" s="2" t="s">
        <v>21</v>
      </c>
      <c r="I42" s="2" t="s">
        <v>294</v>
      </c>
      <c r="J42" s="2" t="s">
        <v>295</v>
      </c>
      <c r="K42" s="2" t="s">
        <v>141</v>
      </c>
      <c r="L42" s="2"/>
      <c r="M42" s="2"/>
      <c r="N42" s="2" t="str">
        <f t="shared" si="0"/>
        <v/>
      </c>
      <c r="O42" s="2"/>
      <c r="P42" s="2"/>
      <c r="Q42" s="2"/>
      <c r="R42" s="2"/>
      <c r="S42" s="2" t="s">
        <v>128</v>
      </c>
      <c r="T42" s="2"/>
      <c r="U42" s="2"/>
      <c r="V42" s="2" t="str">
        <f t="shared" si="1"/>
        <v/>
      </c>
      <c r="W42" t="str">
        <f>IF($P42="是",COUNTIF($P$2:$P42,"是"),"")</f>
        <v/>
      </c>
    </row>
    <row r="43" spans="1:23" ht="27.75">
      <c r="A43" s="2" t="s">
        <v>118</v>
      </c>
      <c r="B43" s="2" t="s">
        <v>119</v>
      </c>
      <c r="C43" s="2" t="s">
        <v>120</v>
      </c>
      <c r="D43" s="2" t="s">
        <v>286</v>
      </c>
      <c r="E43" s="2" t="s">
        <v>287</v>
      </c>
      <c r="F43" s="2" t="s">
        <v>296</v>
      </c>
      <c r="G43" s="2" t="s">
        <v>297</v>
      </c>
      <c r="H43" s="2" t="s">
        <v>21</v>
      </c>
      <c r="I43" s="2" t="s">
        <v>294</v>
      </c>
      <c r="J43" s="2" t="s">
        <v>298</v>
      </c>
      <c r="K43" s="2" t="s">
        <v>137</v>
      </c>
      <c r="L43" s="2"/>
      <c r="M43" s="2"/>
      <c r="N43" s="2" t="str">
        <f t="shared" si="0"/>
        <v/>
      </c>
      <c r="O43" s="2"/>
      <c r="P43" s="2"/>
      <c r="Q43" s="2"/>
      <c r="R43" s="2"/>
      <c r="S43" s="2" t="s">
        <v>128</v>
      </c>
      <c r="T43" s="2"/>
      <c r="U43" s="2"/>
      <c r="V43" s="2" t="str">
        <f t="shared" si="1"/>
        <v/>
      </c>
      <c r="W43" t="str">
        <f>IF($P43="是",COUNTIF($P$2:$P43,"是"),"")</f>
        <v/>
      </c>
    </row>
    <row r="44" spans="1:23" ht="27.75">
      <c r="A44" s="2" t="s">
        <v>118</v>
      </c>
      <c r="B44" s="2" t="s">
        <v>119</v>
      </c>
      <c r="C44" s="2" t="s">
        <v>120</v>
      </c>
      <c r="D44" s="2" t="s">
        <v>286</v>
      </c>
      <c r="E44" s="2" t="s">
        <v>287</v>
      </c>
      <c r="F44" s="2" t="s">
        <v>299</v>
      </c>
      <c r="G44" s="2" t="s">
        <v>300</v>
      </c>
      <c r="H44" s="2" t="s">
        <v>168</v>
      </c>
      <c r="I44" s="2" t="s">
        <v>294</v>
      </c>
      <c r="J44" s="2" t="s">
        <v>301</v>
      </c>
      <c r="K44" s="2" t="s">
        <v>141</v>
      </c>
      <c r="L44" s="2"/>
      <c r="M44" s="2"/>
      <c r="N44" s="2" t="str">
        <f t="shared" si="0"/>
        <v/>
      </c>
      <c r="O44" s="2"/>
      <c r="P44" s="2"/>
      <c r="Q44" s="2"/>
      <c r="R44" s="2"/>
      <c r="S44" s="2" t="s">
        <v>128</v>
      </c>
      <c r="T44" s="2"/>
      <c r="U44" s="2"/>
      <c r="V44" s="2" t="str">
        <f t="shared" si="1"/>
        <v/>
      </c>
      <c r="W44" t="str">
        <f>IF($P44="是",COUNTIF($P$2:$P44,"是"),"")</f>
        <v/>
      </c>
    </row>
    <row r="45" spans="1:23" ht="27.75">
      <c r="A45" s="2" t="s">
        <v>118</v>
      </c>
      <c r="B45" s="2" t="s">
        <v>119</v>
      </c>
      <c r="C45" s="2" t="s">
        <v>120</v>
      </c>
      <c r="D45" s="2" t="s">
        <v>286</v>
      </c>
      <c r="E45" s="2" t="s">
        <v>287</v>
      </c>
      <c r="F45" s="2" t="s">
        <v>302</v>
      </c>
      <c r="G45" s="2" t="s">
        <v>303</v>
      </c>
      <c r="H45" s="2" t="s">
        <v>168</v>
      </c>
      <c r="I45" s="2" t="s">
        <v>294</v>
      </c>
      <c r="J45" s="2" t="s">
        <v>304</v>
      </c>
      <c r="K45" s="2" t="s">
        <v>201</v>
      </c>
      <c r="L45" s="2"/>
      <c r="M45" s="2"/>
      <c r="N45" s="2" t="str">
        <f t="shared" si="0"/>
        <v/>
      </c>
      <c r="O45" s="2"/>
      <c r="P45" s="2"/>
      <c r="Q45" s="2"/>
      <c r="R45" s="2"/>
      <c r="S45" s="2" t="s">
        <v>128</v>
      </c>
      <c r="T45" s="2"/>
      <c r="U45" s="2"/>
      <c r="V45" s="2" t="str">
        <f t="shared" si="1"/>
        <v/>
      </c>
      <c r="W45" t="str">
        <f>IF($P45="是",COUNTIF($P$2:$P45,"是"),"")</f>
        <v/>
      </c>
    </row>
    <row r="46" spans="1:23" ht="27.75">
      <c r="A46" s="2" t="s">
        <v>118</v>
      </c>
      <c r="B46" s="2" t="s">
        <v>119</v>
      </c>
      <c r="C46" s="2" t="s">
        <v>120</v>
      </c>
      <c r="D46" s="2" t="s">
        <v>286</v>
      </c>
      <c r="E46" s="2" t="s">
        <v>287</v>
      </c>
      <c r="F46" s="2" t="s">
        <v>305</v>
      </c>
      <c r="G46" s="2" t="s">
        <v>306</v>
      </c>
      <c r="H46" s="2" t="s">
        <v>307</v>
      </c>
      <c r="I46" s="2" t="s">
        <v>308</v>
      </c>
      <c r="J46" s="2" t="s">
        <v>309</v>
      </c>
      <c r="K46" s="2" t="s">
        <v>147</v>
      </c>
      <c r="L46" s="2"/>
      <c r="M46" s="2"/>
      <c r="N46" s="2" t="str">
        <f t="shared" si="0"/>
        <v/>
      </c>
      <c r="O46" s="2"/>
      <c r="P46" s="2"/>
      <c r="Q46" s="2"/>
      <c r="R46" s="2"/>
      <c r="S46" s="2" t="s">
        <v>128</v>
      </c>
      <c r="T46" s="2"/>
      <c r="U46" s="2"/>
      <c r="V46" s="2" t="str">
        <f t="shared" si="1"/>
        <v/>
      </c>
      <c r="W46" t="str">
        <f>IF($P46="是",COUNTIF($P$2:$P46,"是"),"")</f>
        <v/>
      </c>
    </row>
    <row r="47" spans="1:23" ht="27.75">
      <c r="A47" s="2" t="s">
        <v>118</v>
      </c>
      <c r="B47" s="2" t="s">
        <v>119</v>
      </c>
      <c r="C47" s="2" t="s">
        <v>120</v>
      </c>
      <c r="D47" s="2" t="s">
        <v>286</v>
      </c>
      <c r="E47" s="2" t="s">
        <v>287</v>
      </c>
      <c r="F47" s="2" t="s">
        <v>310</v>
      </c>
      <c r="G47" s="2" t="s">
        <v>311</v>
      </c>
      <c r="H47" s="2" t="s">
        <v>168</v>
      </c>
      <c r="I47" s="2" t="s">
        <v>294</v>
      </c>
      <c r="J47" s="2" t="s">
        <v>312</v>
      </c>
      <c r="K47" s="2" t="s">
        <v>174</v>
      </c>
      <c r="L47" s="2"/>
      <c r="M47" s="2"/>
      <c r="N47" s="2" t="str">
        <f t="shared" si="0"/>
        <v/>
      </c>
      <c r="O47" s="2"/>
      <c r="P47" s="2"/>
      <c r="Q47" s="2"/>
      <c r="R47" s="2"/>
      <c r="S47" s="2" t="s">
        <v>128</v>
      </c>
      <c r="T47" s="2"/>
      <c r="U47" s="2"/>
      <c r="V47" s="2" t="str">
        <f t="shared" si="1"/>
        <v/>
      </c>
      <c r="W47" t="str">
        <f>IF($P47="是",COUNTIF($P$2:$P47,"是"),"")</f>
        <v/>
      </c>
    </row>
    <row r="48" spans="1:23" ht="27.75">
      <c r="A48" s="2" t="s">
        <v>118</v>
      </c>
      <c r="B48" s="2" t="s">
        <v>119</v>
      </c>
      <c r="C48" s="2" t="s">
        <v>120</v>
      </c>
      <c r="D48" s="2" t="s">
        <v>286</v>
      </c>
      <c r="E48" s="2" t="s">
        <v>287</v>
      </c>
      <c r="F48" s="2" t="s">
        <v>313</v>
      </c>
      <c r="G48" s="2" t="s">
        <v>314</v>
      </c>
      <c r="H48" s="2" t="s">
        <v>168</v>
      </c>
      <c r="I48" s="2" t="s">
        <v>294</v>
      </c>
      <c r="J48" s="2" t="s">
        <v>315</v>
      </c>
      <c r="K48" s="2" t="s">
        <v>174</v>
      </c>
      <c r="L48" s="2"/>
      <c r="M48" s="2"/>
      <c r="N48" s="2" t="str">
        <f t="shared" si="0"/>
        <v/>
      </c>
      <c r="O48" s="2"/>
      <c r="P48" s="2"/>
      <c r="Q48" s="2"/>
      <c r="R48" s="2"/>
      <c r="S48" s="2" t="s">
        <v>128</v>
      </c>
      <c r="T48" s="2"/>
      <c r="U48" s="2"/>
      <c r="V48" s="2" t="str">
        <f t="shared" si="1"/>
        <v/>
      </c>
      <c r="W48" t="str">
        <f>IF($P48="是",COUNTIF($P$2:$P48,"是"),"")</f>
        <v/>
      </c>
    </row>
    <row r="49" spans="1:23" ht="27.75">
      <c r="A49" s="2" t="s">
        <v>118</v>
      </c>
      <c r="B49" s="2" t="s">
        <v>119</v>
      </c>
      <c r="C49" s="2" t="s">
        <v>120</v>
      </c>
      <c r="D49" s="2" t="s">
        <v>286</v>
      </c>
      <c r="E49" s="2" t="s">
        <v>287</v>
      </c>
      <c r="F49" s="2" t="s">
        <v>316</v>
      </c>
      <c r="G49" s="2" t="s">
        <v>317</v>
      </c>
      <c r="H49" s="2" t="s">
        <v>307</v>
      </c>
      <c r="I49" s="2" t="s">
        <v>294</v>
      </c>
      <c r="J49" s="2" t="s">
        <v>318</v>
      </c>
      <c r="K49" s="2" t="s">
        <v>174</v>
      </c>
      <c r="L49" s="2"/>
      <c r="M49" s="2"/>
      <c r="N49" s="2" t="str">
        <f t="shared" si="0"/>
        <v/>
      </c>
      <c r="O49" s="2"/>
      <c r="P49" s="2"/>
      <c r="Q49" s="2"/>
      <c r="R49" s="2"/>
      <c r="S49" s="2" t="s">
        <v>128</v>
      </c>
      <c r="T49" s="2"/>
      <c r="U49" s="2"/>
      <c r="V49" s="2" t="str">
        <f t="shared" si="1"/>
        <v/>
      </c>
      <c r="W49" t="str">
        <f>IF($P49="是",COUNTIF($P$2:$P49,"是"),"")</f>
        <v/>
      </c>
    </row>
    <row r="50" spans="1:23" ht="41.65">
      <c r="A50" s="2" t="s">
        <v>118</v>
      </c>
      <c r="B50" s="2" t="s">
        <v>119</v>
      </c>
      <c r="C50" s="2" t="s">
        <v>120</v>
      </c>
      <c r="D50" s="2" t="s">
        <v>286</v>
      </c>
      <c r="E50" s="2" t="s">
        <v>287</v>
      </c>
      <c r="F50" s="2" t="s">
        <v>319</v>
      </c>
      <c r="G50" s="2" t="s">
        <v>320</v>
      </c>
      <c r="H50" s="2" t="s">
        <v>214</v>
      </c>
      <c r="I50" s="2" t="s">
        <v>321</v>
      </c>
      <c r="J50" s="2" t="s">
        <v>322</v>
      </c>
      <c r="K50" s="2" t="s">
        <v>158</v>
      </c>
      <c r="L50" s="2"/>
      <c r="M50" s="2"/>
      <c r="N50" s="2" t="str">
        <f t="shared" si="0"/>
        <v/>
      </c>
      <c r="O50" s="2"/>
      <c r="P50" s="2"/>
      <c r="Q50" s="2"/>
      <c r="R50" s="2"/>
      <c r="S50" s="2" t="s">
        <v>128</v>
      </c>
      <c r="T50" s="2"/>
      <c r="U50" s="2"/>
      <c r="V50" s="2" t="str">
        <f t="shared" si="1"/>
        <v/>
      </c>
      <c r="W50" t="str">
        <f>IF($P50="是",COUNTIF($P$2:$P50,"是"),"")</f>
        <v/>
      </c>
    </row>
    <row r="51" spans="1:23" ht="27.75">
      <c r="A51" s="2" t="s">
        <v>118</v>
      </c>
      <c r="B51" s="2" t="s">
        <v>119</v>
      </c>
      <c r="C51" s="2" t="s">
        <v>120</v>
      </c>
      <c r="D51" s="2" t="s">
        <v>323</v>
      </c>
      <c r="E51" s="2" t="s">
        <v>324</v>
      </c>
      <c r="F51" s="2" t="s">
        <v>325</v>
      </c>
      <c r="G51" s="2" t="s">
        <v>326</v>
      </c>
      <c r="H51" s="2" t="s">
        <v>21</v>
      </c>
      <c r="I51" s="2" t="s">
        <v>327</v>
      </c>
      <c r="J51" s="2" t="s">
        <v>328</v>
      </c>
      <c r="K51" s="2" t="s">
        <v>141</v>
      </c>
      <c r="L51" s="2"/>
      <c r="M51" s="2"/>
      <c r="N51" s="2" t="str">
        <f t="shared" si="0"/>
        <v/>
      </c>
      <c r="O51" s="2"/>
      <c r="P51" s="2"/>
      <c r="Q51" s="2"/>
      <c r="R51" s="2"/>
      <c r="S51" s="2" t="s">
        <v>128</v>
      </c>
      <c r="T51" s="2"/>
      <c r="U51" s="2"/>
      <c r="V51" s="2" t="str">
        <f t="shared" si="1"/>
        <v/>
      </c>
      <c r="W51" t="str">
        <f>IF($P51="是",COUNTIF($P$2:$P51,"是"),"")</f>
        <v/>
      </c>
    </row>
    <row r="52" spans="1:23" ht="27.75">
      <c r="A52" s="2" t="s">
        <v>118</v>
      </c>
      <c r="B52" s="2" t="s">
        <v>119</v>
      </c>
      <c r="C52" s="2" t="s">
        <v>120</v>
      </c>
      <c r="D52" s="2" t="s">
        <v>323</v>
      </c>
      <c r="E52" s="2" t="s">
        <v>324</v>
      </c>
      <c r="F52" s="2" t="s">
        <v>329</v>
      </c>
      <c r="G52" s="2" t="s">
        <v>330</v>
      </c>
      <c r="H52" s="2" t="s">
        <v>21</v>
      </c>
      <c r="I52" s="2" t="s">
        <v>327</v>
      </c>
      <c r="J52" s="2" t="s">
        <v>331</v>
      </c>
      <c r="K52" s="2" t="s">
        <v>174</v>
      </c>
      <c r="L52" s="2"/>
      <c r="M52" s="2"/>
      <c r="N52" s="2" t="str">
        <f t="shared" si="0"/>
        <v/>
      </c>
      <c r="O52" s="2"/>
      <c r="P52" s="2"/>
      <c r="Q52" s="2"/>
      <c r="R52" s="2"/>
      <c r="S52" s="2" t="s">
        <v>128</v>
      </c>
      <c r="T52" s="2"/>
      <c r="U52" s="2"/>
      <c r="V52" s="2" t="str">
        <f t="shared" si="1"/>
        <v/>
      </c>
      <c r="W52" t="str">
        <f>IF($P52="是",COUNTIF($P$2:$P52,"是"),"")</f>
        <v/>
      </c>
    </row>
    <row r="53" spans="1:23" ht="27.75">
      <c r="A53" s="2" t="s">
        <v>118</v>
      </c>
      <c r="B53" s="2" t="s">
        <v>119</v>
      </c>
      <c r="C53" s="2" t="s">
        <v>120</v>
      </c>
      <c r="D53" s="2" t="s">
        <v>323</v>
      </c>
      <c r="E53" s="2" t="s">
        <v>324</v>
      </c>
      <c r="F53" s="2" t="s">
        <v>332</v>
      </c>
      <c r="G53" s="2" t="s">
        <v>333</v>
      </c>
      <c r="H53" s="2" t="s">
        <v>21</v>
      </c>
      <c r="I53" s="2" t="s">
        <v>334</v>
      </c>
      <c r="J53" s="2" t="s">
        <v>335</v>
      </c>
      <c r="K53" s="2" t="s">
        <v>147</v>
      </c>
      <c r="L53" s="2"/>
      <c r="M53" s="2"/>
      <c r="N53" s="2" t="str">
        <f t="shared" si="0"/>
        <v/>
      </c>
      <c r="O53" s="2"/>
      <c r="P53" s="2"/>
      <c r="Q53" s="2"/>
      <c r="R53" s="2"/>
      <c r="S53" s="2" t="s">
        <v>128</v>
      </c>
      <c r="T53" s="2"/>
      <c r="U53" s="2" t="s">
        <v>232</v>
      </c>
      <c r="V53" s="2" t="str">
        <f t="shared" si="1"/>
        <v/>
      </c>
      <c r="W53" t="str">
        <f>IF($P53="是",COUNTIF($P$2:$P53,"是"),"")</f>
        <v/>
      </c>
    </row>
    <row r="54" spans="1:23" ht="27.75">
      <c r="A54" s="2" t="s">
        <v>118</v>
      </c>
      <c r="B54" s="2" t="s">
        <v>119</v>
      </c>
      <c r="C54" s="2" t="s">
        <v>120</v>
      </c>
      <c r="D54" s="2" t="s">
        <v>323</v>
      </c>
      <c r="E54" s="2" t="s">
        <v>324</v>
      </c>
      <c r="F54" s="2" t="s">
        <v>336</v>
      </c>
      <c r="G54" s="2" t="s">
        <v>337</v>
      </c>
      <c r="H54" s="2" t="s">
        <v>21</v>
      </c>
      <c r="I54" s="2" t="s">
        <v>338</v>
      </c>
      <c r="J54" s="2" t="s">
        <v>339</v>
      </c>
      <c r="K54" s="2" t="s">
        <v>141</v>
      </c>
      <c r="L54" s="2"/>
      <c r="M54" s="2"/>
      <c r="N54" s="2" t="str">
        <f t="shared" si="0"/>
        <v/>
      </c>
      <c r="O54" s="2"/>
      <c r="P54" s="2"/>
      <c r="Q54" s="2"/>
      <c r="R54" s="2"/>
      <c r="S54" s="2" t="s">
        <v>128</v>
      </c>
      <c r="T54" s="2"/>
      <c r="U54" s="2"/>
      <c r="V54" s="2" t="str">
        <f t="shared" si="1"/>
        <v/>
      </c>
      <c r="W54" t="str">
        <f>IF($P54="是",COUNTIF($P$2:$P54,"是"),"")</f>
        <v/>
      </c>
    </row>
    <row r="55" spans="1:23" ht="27.75">
      <c r="A55" s="2" t="s">
        <v>118</v>
      </c>
      <c r="B55" s="2" t="s">
        <v>119</v>
      </c>
      <c r="C55" s="2" t="s">
        <v>120</v>
      </c>
      <c r="D55" s="2" t="s">
        <v>323</v>
      </c>
      <c r="E55" s="2" t="s">
        <v>324</v>
      </c>
      <c r="F55" s="2" t="s">
        <v>340</v>
      </c>
      <c r="G55" s="2" t="s">
        <v>341</v>
      </c>
      <c r="H55" s="2" t="s">
        <v>307</v>
      </c>
      <c r="I55" s="2" t="s">
        <v>342</v>
      </c>
      <c r="J55" s="2" t="s">
        <v>343</v>
      </c>
      <c r="K55" s="2" t="s">
        <v>184</v>
      </c>
      <c r="L55" s="2"/>
      <c r="M55" s="2"/>
      <c r="N55" s="2" t="str">
        <f t="shared" si="0"/>
        <v/>
      </c>
      <c r="O55" s="2"/>
      <c r="P55" s="2"/>
      <c r="Q55" s="2"/>
      <c r="R55" s="2"/>
      <c r="S55" s="2" t="s">
        <v>128</v>
      </c>
      <c r="T55" s="2"/>
      <c r="U55" s="2"/>
      <c r="V55" s="2" t="str">
        <f t="shared" si="1"/>
        <v/>
      </c>
      <c r="W55" t="str">
        <f>IF($P55="是",COUNTIF($P$2:$P55,"是"),"")</f>
        <v/>
      </c>
    </row>
    <row r="56" spans="1:23" ht="27.75">
      <c r="A56" s="2" t="s">
        <v>118</v>
      </c>
      <c r="B56" s="2" t="s">
        <v>119</v>
      </c>
      <c r="C56" s="2" t="s">
        <v>120</v>
      </c>
      <c r="D56" s="2" t="s">
        <v>323</v>
      </c>
      <c r="E56" s="2" t="s">
        <v>324</v>
      </c>
      <c r="F56" s="2" t="s">
        <v>344</v>
      </c>
      <c r="G56" s="2" t="s">
        <v>345</v>
      </c>
      <c r="H56" s="2" t="s">
        <v>307</v>
      </c>
      <c r="I56" s="2" t="s">
        <v>338</v>
      </c>
      <c r="J56" s="2" t="s">
        <v>346</v>
      </c>
      <c r="K56" s="2" t="s">
        <v>147</v>
      </c>
      <c r="L56" s="2"/>
      <c r="M56" s="2"/>
      <c r="N56" s="2" t="str">
        <f t="shared" si="0"/>
        <v/>
      </c>
      <c r="O56" s="2"/>
      <c r="P56" s="2"/>
      <c r="Q56" s="2"/>
      <c r="R56" s="2"/>
      <c r="S56" s="2" t="s">
        <v>128</v>
      </c>
      <c r="T56" s="2"/>
      <c r="U56" s="2"/>
      <c r="V56" s="2" t="str">
        <f t="shared" si="1"/>
        <v/>
      </c>
      <c r="W56" t="str">
        <f>IF($P56="是",COUNTIF($P$2:$P56,"是"),"")</f>
        <v/>
      </c>
    </row>
    <row r="57" spans="1:23" ht="27.75">
      <c r="A57" s="2" t="s">
        <v>118</v>
      </c>
      <c r="B57" s="2" t="s">
        <v>119</v>
      </c>
      <c r="C57" s="2" t="s">
        <v>120</v>
      </c>
      <c r="D57" s="2" t="s">
        <v>323</v>
      </c>
      <c r="E57" s="2" t="s">
        <v>324</v>
      </c>
      <c r="F57" s="2" t="s">
        <v>347</v>
      </c>
      <c r="G57" s="2" t="s">
        <v>348</v>
      </c>
      <c r="H57" s="2" t="s">
        <v>214</v>
      </c>
      <c r="I57" s="2" t="s">
        <v>349</v>
      </c>
      <c r="J57" s="2" t="s">
        <v>350</v>
      </c>
      <c r="K57" s="2" t="s">
        <v>158</v>
      </c>
      <c r="L57" s="2"/>
      <c r="M57" s="2"/>
      <c r="N57" s="2" t="str">
        <f t="shared" si="0"/>
        <v/>
      </c>
      <c r="O57" s="2"/>
      <c r="P57" s="2"/>
      <c r="Q57" s="2"/>
      <c r="R57" s="2"/>
      <c r="S57" s="2" t="s">
        <v>128</v>
      </c>
      <c r="T57" s="2"/>
      <c r="U57" s="2"/>
      <c r="V57" s="2" t="str">
        <f t="shared" si="1"/>
        <v/>
      </c>
      <c r="W57" t="str">
        <f>IF($P57="是",COUNTIF($P$2:$P57,"是"),"")</f>
        <v/>
      </c>
    </row>
    <row r="58" spans="1:23" ht="27.75">
      <c r="A58" s="2" t="s">
        <v>118</v>
      </c>
      <c r="B58" s="2" t="s">
        <v>119</v>
      </c>
      <c r="C58" s="2" t="s">
        <v>120</v>
      </c>
      <c r="D58" s="2" t="s">
        <v>323</v>
      </c>
      <c r="E58" s="2" t="s">
        <v>324</v>
      </c>
      <c r="F58" s="2" t="s">
        <v>351</v>
      </c>
      <c r="G58" s="2" t="s">
        <v>352</v>
      </c>
      <c r="H58" s="2" t="s">
        <v>144</v>
      </c>
      <c r="I58" s="2" t="s">
        <v>353</v>
      </c>
      <c r="J58" s="2" t="s">
        <v>354</v>
      </c>
      <c r="K58" s="2" t="s">
        <v>158</v>
      </c>
      <c r="L58" s="2"/>
      <c r="M58" s="2"/>
      <c r="N58" s="2" t="str">
        <f t="shared" si="0"/>
        <v/>
      </c>
      <c r="O58" s="2"/>
      <c r="P58" s="2"/>
      <c r="Q58" s="2"/>
      <c r="R58" s="2"/>
      <c r="S58" s="2" t="s">
        <v>128</v>
      </c>
      <c r="T58" s="2"/>
      <c r="U58" s="2"/>
      <c r="V58" s="2" t="str">
        <f t="shared" si="1"/>
        <v/>
      </c>
      <c r="W58" t="str">
        <f>IF($P58="是",COUNTIF($P$2:$P58,"是"),"")</f>
        <v/>
      </c>
    </row>
    <row r="59" spans="1:23" ht="27.75">
      <c r="A59" s="2" t="s">
        <v>118</v>
      </c>
      <c r="B59" s="2" t="s">
        <v>119</v>
      </c>
      <c r="C59" s="2" t="s">
        <v>120</v>
      </c>
      <c r="D59" s="2" t="s">
        <v>355</v>
      </c>
      <c r="E59" s="2" t="s">
        <v>356</v>
      </c>
      <c r="F59" s="2" t="s">
        <v>357</v>
      </c>
      <c r="G59" s="2" t="s">
        <v>358</v>
      </c>
      <c r="H59" s="2" t="s">
        <v>21</v>
      </c>
      <c r="I59" s="2" t="s">
        <v>359</v>
      </c>
      <c r="J59" s="2" t="s">
        <v>360</v>
      </c>
      <c r="K59" s="2" t="s">
        <v>361</v>
      </c>
      <c r="L59" s="2"/>
      <c r="M59" s="2"/>
      <c r="N59" s="2" t="str">
        <f t="shared" si="0"/>
        <v/>
      </c>
      <c r="O59" s="2"/>
      <c r="P59" s="2"/>
      <c r="Q59" s="2"/>
      <c r="R59" s="2"/>
      <c r="S59" s="2" t="s">
        <v>128</v>
      </c>
      <c r="T59" s="2"/>
      <c r="U59" s="2"/>
      <c r="V59" s="2" t="str">
        <f t="shared" si="1"/>
        <v/>
      </c>
      <c r="W59" t="str">
        <f>IF($P59="是",COUNTIF($P$2:$P59,"是"),"")</f>
        <v/>
      </c>
    </row>
    <row r="60" spans="1:23" ht="27.75">
      <c r="A60" s="2" t="s">
        <v>118</v>
      </c>
      <c r="B60" s="2" t="s">
        <v>119</v>
      </c>
      <c r="C60" s="2" t="s">
        <v>120</v>
      </c>
      <c r="D60" s="2" t="s">
        <v>355</v>
      </c>
      <c r="E60" s="2" t="s">
        <v>356</v>
      </c>
      <c r="F60" s="2" t="s">
        <v>362</v>
      </c>
      <c r="G60" s="2" t="s">
        <v>363</v>
      </c>
      <c r="H60" s="2" t="s">
        <v>21</v>
      </c>
      <c r="I60" s="2" t="s">
        <v>364</v>
      </c>
      <c r="J60" s="2" t="s">
        <v>365</v>
      </c>
      <c r="K60" s="2" t="s">
        <v>201</v>
      </c>
      <c r="L60" s="2"/>
      <c r="M60" s="2"/>
      <c r="N60" s="2" t="str">
        <f t="shared" si="0"/>
        <v/>
      </c>
      <c r="O60" s="2"/>
      <c r="P60" s="2"/>
      <c r="Q60" s="2"/>
      <c r="R60" s="2"/>
      <c r="S60" s="2" t="s">
        <v>128</v>
      </c>
      <c r="T60" s="2"/>
      <c r="U60" s="2"/>
      <c r="V60" s="2" t="str">
        <f t="shared" si="1"/>
        <v/>
      </c>
      <c r="W60" t="str">
        <f>IF($P60="是",COUNTIF($P$2:$P60,"是"),"")</f>
        <v/>
      </c>
    </row>
    <row r="61" spans="1:23" ht="27.75">
      <c r="A61" s="2" t="s">
        <v>118</v>
      </c>
      <c r="B61" s="2" t="s">
        <v>119</v>
      </c>
      <c r="C61" s="2" t="s">
        <v>120</v>
      </c>
      <c r="D61" s="2" t="s">
        <v>355</v>
      </c>
      <c r="E61" s="2" t="s">
        <v>356</v>
      </c>
      <c r="F61" s="2" t="s">
        <v>366</v>
      </c>
      <c r="G61" s="2" t="s">
        <v>367</v>
      </c>
      <c r="H61" s="2" t="s">
        <v>21</v>
      </c>
      <c r="I61" s="2" t="s">
        <v>359</v>
      </c>
      <c r="J61" s="2" t="s">
        <v>368</v>
      </c>
      <c r="K61" s="2" t="s">
        <v>174</v>
      </c>
      <c r="L61" s="2"/>
      <c r="M61" s="2"/>
      <c r="N61" s="2" t="str">
        <f t="shared" si="0"/>
        <v/>
      </c>
      <c r="O61" s="2"/>
      <c r="P61" s="2"/>
      <c r="Q61" s="2"/>
      <c r="R61" s="2"/>
      <c r="S61" s="2" t="s">
        <v>128</v>
      </c>
      <c r="T61" s="2"/>
      <c r="U61" s="2" t="s">
        <v>232</v>
      </c>
      <c r="V61" s="2" t="str">
        <f t="shared" si="1"/>
        <v/>
      </c>
      <c r="W61" t="str">
        <f>IF($P61="是",COUNTIF($P$2:$P61,"是"),"")</f>
        <v/>
      </c>
    </row>
    <row r="62" spans="1:23" ht="27.75">
      <c r="A62" s="2" t="s">
        <v>118</v>
      </c>
      <c r="B62" s="2" t="s">
        <v>119</v>
      </c>
      <c r="C62" s="2" t="s">
        <v>120</v>
      </c>
      <c r="D62" s="2" t="s">
        <v>355</v>
      </c>
      <c r="E62" s="2" t="s">
        <v>356</v>
      </c>
      <c r="F62" s="2" t="s">
        <v>369</v>
      </c>
      <c r="G62" s="2" t="s">
        <v>370</v>
      </c>
      <c r="H62" s="2" t="s">
        <v>168</v>
      </c>
      <c r="I62" s="2" t="s">
        <v>359</v>
      </c>
      <c r="J62" s="2" t="s">
        <v>371</v>
      </c>
      <c r="K62" s="2" t="s">
        <v>201</v>
      </c>
      <c r="L62" s="2"/>
      <c r="M62" s="2"/>
      <c r="N62" s="2" t="str">
        <f t="shared" si="0"/>
        <v/>
      </c>
      <c r="O62" s="2"/>
      <c r="P62" s="2"/>
      <c r="Q62" s="2"/>
      <c r="R62" s="2"/>
      <c r="S62" s="2" t="s">
        <v>128</v>
      </c>
      <c r="T62" s="2"/>
      <c r="U62" s="2"/>
      <c r="V62" s="2" t="str">
        <f t="shared" si="1"/>
        <v/>
      </c>
      <c r="W62" t="str">
        <f>IF($P62="是",COUNTIF($P$2:$P62,"是"),"")</f>
        <v/>
      </c>
    </row>
    <row r="63" spans="1:23" ht="27.75">
      <c r="A63" s="2" t="s">
        <v>118</v>
      </c>
      <c r="B63" s="2" t="s">
        <v>119</v>
      </c>
      <c r="C63" s="2" t="s">
        <v>120</v>
      </c>
      <c r="D63" s="2" t="s">
        <v>355</v>
      </c>
      <c r="E63" s="2" t="s">
        <v>356</v>
      </c>
      <c r="F63" s="2" t="s">
        <v>372</v>
      </c>
      <c r="G63" s="2" t="s">
        <v>373</v>
      </c>
      <c r="H63" s="2" t="s">
        <v>21</v>
      </c>
      <c r="I63" s="2" t="s">
        <v>359</v>
      </c>
      <c r="J63" s="2" t="s">
        <v>374</v>
      </c>
      <c r="K63" s="2" t="s">
        <v>361</v>
      </c>
      <c r="L63" s="2"/>
      <c r="M63" s="2"/>
      <c r="N63" s="2" t="str">
        <f t="shared" si="0"/>
        <v/>
      </c>
      <c r="O63" s="2"/>
      <c r="P63" s="2"/>
      <c r="Q63" s="2"/>
      <c r="R63" s="2"/>
      <c r="S63" s="2" t="s">
        <v>128</v>
      </c>
      <c r="T63" s="2"/>
      <c r="U63" s="2"/>
      <c r="V63" s="2" t="str">
        <f t="shared" si="1"/>
        <v/>
      </c>
      <c r="W63" t="str">
        <f>IF($P63="是",COUNTIF($P$2:$P63,"是"),"")</f>
        <v/>
      </c>
    </row>
    <row r="64" spans="1:23" ht="27.75">
      <c r="A64" s="2" t="s">
        <v>118</v>
      </c>
      <c r="B64" s="2" t="s">
        <v>119</v>
      </c>
      <c r="C64" s="2" t="s">
        <v>120</v>
      </c>
      <c r="D64" s="2" t="s">
        <v>355</v>
      </c>
      <c r="E64" s="2" t="s">
        <v>356</v>
      </c>
      <c r="F64" s="2" t="s">
        <v>375</v>
      </c>
      <c r="G64" s="2" t="s">
        <v>376</v>
      </c>
      <c r="H64" s="2" t="s">
        <v>24</v>
      </c>
      <c r="I64" s="2" t="s">
        <v>359</v>
      </c>
      <c r="J64" s="2" t="s">
        <v>377</v>
      </c>
      <c r="K64" s="2" t="s">
        <v>201</v>
      </c>
      <c r="L64" s="2"/>
      <c r="M64" s="2"/>
      <c r="N64" s="2" t="str">
        <f t="shared" si="0"/>
        <v/>
      </c>
      <c r="O64" s="2"/>
      <c r="P64" s="2"/>
      <c r="Q64" s="2"/>
      <c r="R64" s="2"/>
      <c r="S64" s="2" t="s">
        <v>128</v>
      </c>
      <c r="T64" s="2"/>
      <c r="U64" s="2"/>
      <c r="V64" s="2" t="str">
        <f t="shared" si="1"/>
        <v/>
      </c>
      <c r="W64" t="str">
        <f>IF($P64="是",COUNTIF($P$2:$P64,"是"),"")</f>
        <v/>
      </c>
    </row>
    <row r="65" spans="1:23" ht="27.75">
      <c r="A65" s="2" t="s">
        <v>118</v>
      </c>
      <c r="B65" s="2" t="s">
        <v>119</v>
      </c>
      <c r="C65" s="2" t="s">
        <v>120</v>
      </c>
      <c r="D65" s="2" t="s">
        <v>355</v>
      </c>
      <c r="E65" s="2" t="s">
        <v>356</v>
      </c>
      <c r="F65" s="2" t="s">
        <v>378</v>
      </c>
      <c r="G65" s="2" t="s">
        <v>379</v>
      </c>
      <c r="H65" s="2" t="s">
        <v>307</v>
      </c>
      <c r="I65" s="2" t="s">
        <v>359</v>
      </c>
      <c r="J65" s="2" t="s">
        <v>380</v>
      </c>
      <c r="K65" s="2" t="s">
        <v>381</v>
      </c>
      <c r="L65" s="2"/>
      <c r="M65" s="2"/>
      <c r="N65" s="2" t="str">
        <f t="shared" si="0"/>
        <v/>
      </c>
      <c r="O65" s="2"/>
      <c r="P65" s="2"/>
      <c r="Q65" s="2"/>
      <c r="R65" s="2"/>
      <c r="S65" s="2" t="s">
        <v>128</v>
      </c>
      <c r="T65" s="2"/>
      <c r="U65" s="2"/>
      <c r="V65" s="2" t="str">
        <f t="shared" si="1"/>
        <v/>
      </c>
      <c r="W65" t="str">
        <f>IF($P65="是",COUNTIF($P$2:$P65,"是"),"")</f>
        <v/>
      </c>
    </row>
    <row r="66" spans="1:23" ht="27.75">
      <c r="A66" s="2" t="s">
        <v>118</v>
      </c>
      <c r="B66" s="2" t="s">
        <v>119</v>
      </c>
      <c r="C66" s="2" t="s">
        <v>120</v>
      </c>
      <c r="D66" s="2" t="s">
        <v>355</v>
      </c>
      <c r="E66" s="2" t="s">
        <v>356</v>
      </c>
      <c r="F66" s="2" t="s">
        <v>382</v>
      </c>
      <c r="G66" s="2" t="s">
        <v>383</v>
      </c>
      <c r="H66" s="2" t="s">
        <v>214</v>
      </c>
      <c r="I66" s="2" t="s">
        <v>384</v>
      </c>
      <c r="J66" s="2" t="s">
        <v>385</v>
      </c>
      <c r="K66" s="2" t="s">
        <v>158</v>
      </c>
      <c r="L66" s="2"/>
      <c r="M66" s="2"/>
      <c r="N66" s="2" t="str">
        <f t="shared" ref="N66:N129" si="2">IF(OR(L66="",M66=""),"",MAX(0,M66-L66))</f>
        <v/>
      </c>
      <c r="O66" s="2"/>
      <c r="P66" s="2"/>
      <c r="Q66" s="2"/>
      <c r="R66" s="2"/>
      <c r="S66" s="2" t="s">
        <v>128</v>
      </c>
      <c r="T66" s="2"/>
      <c r="U66" s="2"/>
      <c r="V66" s="2" t="str">
        <f t="shared" ref="V66:V129" si="3">IF(N66="","",IF(N66&gt;=3,"年度重点专项",IF(N66=2,"季度重点补齐",IF(N66=1,"月度常规提升","保持观察/可做分享"))))</f>
        <v/>
      </c>
      <c r="W66" t="str">
        <f>IF($P66="是",COUNTIF($P$2:$P66,"是"),"")</f>
        <v/>
      </c>
    </row>
    <row r="67" spans="1:23" ht="27.75">
      <c r="A67" s="2" t="s">
        <v>118</v>
      </c>
      <c r="B67" s="2" t="s">
        <v>119</v>
      </c>
      <c r="C67" s="2" t="s">
        <v>120</v>
      </c>
      <c r="D67" s="2" t="s">
        <v>355</v>
      </c>
      <c r="E67" s="2" t="s">
        <v>356</v>
      </c>
      <c r="F67" s="2" t="s">
        <v>386</v>
      </c>
      <c r="G67" s="2" t="s">
        <v>387</v>
      </c>
      <c r="H67" s="2" t="s">
        <v>144</v>
      </c>
      <c r="I67" s="2" t="s">
        <v>388</v>
      </c>
      <c r="J67" s="2" t="s">
        <v>389</v>
      </c>
      <c r="K67" s="2" t="s">
        <v>184</v>
      </c>
      <c r="L67" s="2"/>
      <c r="M67" s="2"/>
      <c r="N67" s="2" t="str">
        <f t="shared" si="2"/>
        <v/>
      </c>
      <c r="O67" s="2"/>
      <c r="P67" s="2"/>
      <c r="Q67" s="2"/>
      <c r="R67" s="2"/>
      <c r="S67" s="2" t="s">
        <v>128</v>
      </c>
      <c r="T67" s="2"/>
      <c r="U67" s="2"/>
      <c r="V67" s="2" t="str">
        <f t="shared" si="3"/>
        <v/>
      </c>
      <c r="W67" t="str">
        <f>IF($P67="是",COUNTIF($P$2:$P67,"是"),"")</f>
        <v/>
      </c>
    </row>
    <row r="68" spans="1:23" ht="27.75">
      <c r="A68" s="2" t="s">
        <v>118</v>
      </c>
      <c r="B68" s="2" t="s">
        <v>119</v>
      </c>
      <c r="C68" s="2" t="s">
        <v>120</v>
      </c>
      <c r="D68" s="2" t="s">
        <v>390</v>
      </c>
      <c r="E68" s="2" t="s">
        <v>391</v>
      </c>
      <c r="F68" s="2" t="s">
        <v>392</v>
      </c>
      <c r="G68" s="2" t="s">
        <v>393</v>
      </c>
      <c r="H68" s="2" t="s">
        <v>21</v>
      </c>
      <c r="I68" s="2" t="s">
        <v>394</v>
      </c>
      <c r="J68" s="2" t="s">
        <v>395</v>
      </c>
      <c r="K68" s="2" t="s">
        <v>137</v>
      </c>
      <c r="L68" s="2"/>
      <c r="M68" s="2"/>
      <c r="N68" s="2" t="str">
        <f t="shared" si="2"/>
        <v/>
      </c>
      <c r="O68" s="2"/>
      <c r="P68" s="2"/>
      <c r="Q68" s="2"/>
      <c r="R68" s="2"/>
      <c r="S68" s="2" t="s">
        <v>128</v>
      </c>
      <c r="T68" s="2"/>
      <c r="U68" s="2"/>
      <c r="V68" s="2" t="str">
        <f t="shared" si="3"/>
        <v/>
      </c>
      <c r="W68" t="str">
        <f>IF($P68="是",COUNTIF($P$2:$P68,"是"),"")</f>
        <v/>
      </c>
    </row>
    <row r="69" spans="1:23" ht="27.75">
      <c r="A69" s="2" t="s">
        <v>118</v>
      </c>
      <c r="B69" s="2" t="s">
        <v>119</v>
      </c>
      <c r="C69" s="2" t="s">
        <v>120</v>
      </c>
      <c r="D69" s="2" t="s">
        <v>390</v>
      </c>
      <c r="E69" s="2" t="s">
        <v>391</v>
      </c>
      <c r="F69" s="2" t="s">
        <v>396</v>
      </c>
      <c r="G69" s="2" t="s">
        <v>397</v>
      </c>
      <c r="H69" s="2" t="s">
        <v>168</v>
      </c>
      <c r="I69" s="2" t="s">
        <v>398</v>
      </c>
      <c r="J69" s="2" t="s">
        <v>399</v>
      </c>
      <c r="K69" s="2" t="s">
        <v>141</v>
      </c>
      <c r="L69" s="2"/>
      <c r="M69" s="2"/>
      <c r="N69" s="2" t="str">
        <f t="shared" si="2"/>
        <v/>
      </c>
      <c r="O69" s="2"/>
      <c r="P69" s="2"/>
      <c r="Q69" s="2"/>
      <c r="R69" s="2"/>
      <c r="S69" s="2" t="s">
        <v>128</v>
      </c>
      <c r="T69" s="2"/>
      <c r="U69" s="2"/>
      <c r="V69" s="2" t="str">
        <f t="shared" si="3"/>
        <v/>
      </c>
      <c r="W69" t="str">
        <f>IF($P69="是",COUNTIF($P$2:$P69,"是"),"")</f>
        <v/>
      </c>
    </row>
    <row r="70" spans="1:23" ht="27.75">
      <c r="A70" s="2" t="s">
        <v>118</v>
      </c>
      <c r="B70" s="2" t="s">
        <v>119</v>
      </c>
      <c r="C70" s="2" t="s">
        <v>120</v>
      </c>
      <c r="D70" s="2" t="s">
        <v>390</v>
      </c>
      <c r="E70" s="2" t="s">
        <v>391</v>
      </c>
      <c r="F70" s="2" t="s">
        <v>400</v>
      </c>
      <c r="G70" s="2" t="s">
        <v>401</v>
      </c>
      <c r="H70" s="2" t="s">
        <v>21</v>
      </c>
      <c r="I70" s="2" t="s">
        <v>394</v>
      </c>
      <c r="J70" s="2" t="s">
        <v>402</v>
      </c>
      <c r="K70" s="2" t="s">
        <v>141</v>
      </c>
      <c r="L70" s="2"/>
      <c r="M70" s="2"/>
      <c r="N70" s="2" t="str">
        <f t="shared" si="2"/>
        <v/>
      </c>
      <c r="O70" s="2"/>
      <c r="P70" s="2"/>
      <c r="Q70" s="2"/>
      <c r="R70" s="2"/>
      <c r="S70" s="2" t="s">
        <v>128</v>
      </c>
      <c r="T70" s="2"/>
      <c r="U70" s="2"/>
      <c r="V70" s="2" t="str">
        <f t="shared" si="3"/>
        <v/>
      </c>
      <c r="W70" t="str">
        <f>IF($P70="是",COUNTIF($P$2:$P70,"是"),"")</f>
        <v/>
      </c>
    </row>
    <row r="71" spans="1:23" ht="27.75">
      <c r="A71" s="2" t="s">
        <v>118</v>
      </c>
      <c r="B71" s="2" t="s">
        <v>119</v>
      </c>
      <c r="C71" s="2" t="s">
        <v>120</v>
      </c>
      <c r="D71" s="2" t="s">
        <v>390</v>
      </c>
      <c r="E71" s="2" t="s">
        <v>391</v>
      </c>
      <c r="F71" s="2" t="s">
        <v>403</v>
      </c>
      <c r="G71" s="2" t="s">
        <v>404</v>
      </c>
      <c r="H71" s="2" t="s">
        <v>21</v>
      </c>
      <c r="I71" s="2" t="s">
        <v>398</v>
      </c>
      <c r="J71" s="2" t="s">
        <v>405</v>
      </c>
      <c r="K71" s="2" t="s">
        <v>201</v>
      </c>
      <c r="L71" s="2"/>
      <c r="M71" s="2"/>
      <c r="N71" s="2" t="str">
        <f t="shared" si="2"/>
        <v/>
      </c>
      <c r="O71" s="2"/>
      <c r="P71" s="2"/>
      <c r="Q71" s="2"/>
      <c r="R71" s="2"/>
      <c r="S71" s="2" t="s">
        <v>128</v>
      </c>
      <c r="T71" s="2"/>
      <c r="U71" s="2"/>
      <c r="V71" s="2" t="str">
        <f t="shared" si="3"/>
        <v/>
      </c>
      <c r="W71" t="str">
        <f>IF($P71="是",COUNTIF($P$2:$P71,"是"),"")</f>
        <v/>
      </c>
    </row>
    <row r="72" spans="1:23" ht="27.75">
      <c r="A72" s="2" t="s">
        <v>118</v>
      </c>
      <c r="B72" s="2" t="s">
        <v>119</v>
      </c>
      <c r="C72" s="2" t="s">
        <v>120</v>
      </c>
      <c r="D72" s="2" t="s">
        <v>390</v>
      </c>
      <c r="E72" s="2" t="s">
        <v>391</v>
      </c>
      <c r="F72" s="2" t="s">
        <v>406</v>
      </c>
      <c r="G72" s="2" t="s">
        <v>407</v>
      </c>
      <c r="H72" s="2" t="s">
        <v>24</v>
      </c>
      <c r="I72" s="2" t="s">
        <v>408</v>
      </c>
      <c r="J72" s="2" t="s">
        <v>409</v>
      </c>
      <c r="K72" s="2" t="s">
        <v>174</v>
      </c>
      <c r="L72" s="2"/>
      <c r="M72" s="2"/>
      <c r="N72" s="2" t="str">
        <f t="shared" si="2"/>
        <v/>
      </c>
      <c r="O72" s="2"/>
      <c r="P72" s="2"/>
      <c r="Q72" s="2"/>
      <c r="R72" s="2"/>
      <c r="S72" s="2" t="s">
        <v>128</v>
      </c>
      <c r="T72" s="2"/>
      <c r="U72" s="2"/>
      <c r="V72" s="2" t="str">
        <f t="shared" si="3"/>
        <v/>
      </c>
      <c r="W72" t="str">
        <f>IF($P72="是",COUNTIF($P$2:$P72,"是"),"")</f>
        <v/>
      </c>
    </row>
    <row r="73" spans="1:23" ht="27.75">
      <c r="A73" s="2" t="s">
        <v>118</v>
      </c>
      <c r="B73" s="2" t="s">
        <v>119</v>
      </c>
      <c r="C73" s="2" t="s">
        <v>120</v>
      </c>
      <c r="D73" s="2" t="s">
        <v>390</v>
      </c>
      <c r="E73" s="2" t="s">
        <v>391</v>
      </c>
      <c r="F73" s="2" t="s">
        <v>410</v>
      </c>
      <c r="G73" s="2" t="s">
        <v>411</v>
      </c>
      <c r="H73" s="2" t="s">
        <v>27</v>
      </c>
      <c r="I73" s="2" t="s">
        <v>412</v>
      </c>
      <c r="J73" s="2" t="s">
        <v>413</v>
      </c>
      <c r="K73" s="2" t="s">
        <v>414</v>
      </c>
      <c r="L73" s="2"/>
      <c r="M73" s="2"/>
      <c r="N73" s="2" t="str">
        <f t="shared" si="2"/>
        <v/>
      </c>
      <c r="O73" s="2"/>
      <c r="P73" s="2"/>
      <c r="Q73" s="2"/>
      <c r="R73" s="2"/>
      <c r="S73" s="2" t="s">
        <v>128</v>
      </c>
      <c r="T73" s="2"/>
      <c r="U73" s="2"/>
      <c r="V73" s="2" t="str">
        <f t="shared" si="3"/>
        <v/>
      </c>
      <c r="W73" t="str">
        <f>IF($P73="是",COUNTIF($P$2:$P73,"是"),"")</f>
        <v/>
      </c>
    </row>
    <row r="74" spans="1:23" ht="27.75">
      <c r="A74" s="2" t="s">
        <v>118</v>
      </c>
      <c r="B74" s="2" t="s">
        <v>119</v>
      </c>
      <c r="C74" s="2" t="s">
        <v>120</v>
      </c>
      <c r="D74" s="2" t="s">
        <v>390</v>
      </c>
      <c r="E74" s="2" t="s">
        <v>391</v>
      </c>
      <c r="F74" s="2" t="s">
        <v>415</v>
      </c>
      <c r="G74" s="2" t="s">
        <v>416</v>
      </c>
      <c r="H74" s="2" t="s">
        <v>214</v>
      </c>
      <c r="I74" s="2" t="s">
        <v>398</v>
      </c>
      <c r="J74" s="2" t="s">
        <v>417</v>
      </c>
      <c r="K74" s="2" t="s">
        <v>158</v>
      </c>
      <c r="L74" s="2"/>
      <c r="M74" s="2"/>
      <c r="N74" s="2" t="str">
        <f t="shared" si="2"/>
        <v/>
      </c>
      <c r="O74" s="2"/>
      <c r="P74" s="2"/>
      <c r="Q74" s="2"/>
      <c r="R74" s="2"/>
      <c r="S74" s="2" t="s">
        <v>128</v>
      </c>
      <c r="T74" s="2"/>
      <c r="U74" s="2"/>
      <c r="V74" s="2" t="str">
        <f t="shared" si="3"/>
        <v/>
      </c>
      <c r="W74" t="str">
        <f>IF($P74="是",COUNTIF($P$2:$P74,"是"),"")</f>
        <v/>
      </c>
    </row>
    <row r="75" spans="1:23" ht="27.75">
      <c r="A75" s="2" t="s">
        <v>118</v>
      </c>
      <c r="B75" s="2" t="s">
        <v>119</v>
      </c>
      <c r="C75" s="2" t="s">
        <v>120</v>
      </c>
      <c r="D75" s="2" t="s">
        <v>390</v>
      </c>
      <c r="E75" s="2" t="s">
        <v>391</v>
      </c>
      <c r="F75" s="2" t="s">
        <v>418</v>
      </c>
      <c r="G75" s="2" t="s">
        <v>419</v>
      </c>
      <c r="H75" s="2" t="s">
        <v>181</v>
      </c>
      <c r="I75" s="2" t="s">
        <v>420</v>
      </c>
      <c r="J75" s="2" t="s">
        <v>421</v>
      </c>
      <c r="K75" s="2" t="s">
        <v>158</v>
      </c>
      <c r="L75" s="2"/>
      <c r="M75" s="2"/>
      <c r="N75" s="2" t="str">
        <f t="shared" si="2"/>
        <v/>
      </c>
      <c r="O75" s="2"/>
      <c r="P75" s="2"/>
      <c r="Q75" s="2"/>
      <c r="R75" s="2"/>
      <c r="S75" s="2" t="s">
        <v>128</v>
      </c>
      <c r="T75" s="2"/>
      <c r="U75" s="2"/>
      <c r="V75" s="2" t="str">
        <f t="shared" si="3"/>
        <v/>
      </c>
      <c r="W75" t="str">
        <f>IF($P75="是",COUNTIF($P$2:$P75,"是"),"")</f>
        <v/>
      </c>
    </row>
    <row r="76" spans="1:23" ht="27.75">
      <c r="A76" s="2" t="s">
        <v>118</v>
      </c>
      <c r="B76" s="2" t="s">
        <v>119</v>
      </c>
      <c r="C76" s="2" t="s">
        <v>120</v>
      </c>
      <c r="D76" s="2" t="s">
        <v>422</v>
      </c>
      <c r="E76" s="2" t="s">
        <v>423</v>
      </c>
      <c r="F76" s="2" t="s">
        <v>424</v>
      </c>
      <c r="G76" s="2" t="s">
        <v>425</v>
      </c>
      <c r="H76" s="2" t="s">
        <v>21</v>
      </c>
      <c r="I76" s="2" t="s">
        <v>290</v>
      </c>
      <c r="J76" s="2" t="s">
        <v>426</v>
      </c>
      <c r="K76" s="2" t="s">
        <v>137</v>
      </c>
      <c r="L76" s="2"/>
      <c r="M76" s="2"/>
      <c r="N76" s="2" t="str">
        <f t="shared" si="2"/>
        <v/>
      </c>
      <c r="O76" s="2"/>
      <c r="P76" s="2"/>
      <c r="Q76" s="2"/>
      <c r="R76" s="2"/>
      <c r="S76" s="2" t="s">
        <v>128</v>
      </c>
      <c r="T76" s="2"/>
      <c r="U76" s="2"/>
      <c r="V76" s="2" t="str">
        <f t="shared" si="3"/>
        <v/>
      </c>
      <c r="W76" t="str">
        <f>IF($P76="是",COUNTIF($P$2:$P76,"是"),"")</f>
        <v/>
      </c>
    </row>
    <row r="77" spans="1:23" ht="27.75">
      <c r="A77" s="2" t="s">
        <v>118</v>
      </c>
      <c r="B77" s="2" t="s">
        <v>119</v>
      </c>
      <c r="C77" s="2" t="s">
        <v>120</v>
      </c>
      <c r="D77" s="2" t="s">
        <v>422</v>
      </c>
      <c r="E77" s="2" t="s">
        <v>423</v>
      </c>
      <c r="F77" s="2" t="s">
        <v>427</v>
      </c>
      <c r="G77" s="2" t="s">
        <v>428</v>
      </c>
      <c r="H77" s="2" t="s">
        <v>168</v>
      </c>
      <c r="I77" s="2" t="s">
        <v>196</v>
      </c>
      <c r="J77" s="2" t="s">
        <v>429</v>
      </c>
      <c r="K77" s="2" t="s">
        <v>201</v>
      </c>
      <c r="L77" s="2"/>
      <c r="M77" s="2"/>
      <c r="N77" s="2" t="str">
        <f t="shared" si="2"/>
        <v/>
      </c>
      <c r="O77" s="2"/>
      <c r="P77" s="2"/>
      <c r="Q77" s="2"/>
      <c r="R77" s="2"/>
      <c r="S77" s="2" t="s">
        <v>128</v>
      </c>
      <c r="T77" s="2"/>
      <c r="U77" s="2"/>
      <c r="V77" s="2" t="str">
        <f t="shared" si="3"/>
        <v/>
      </c>
      <c r="W77" t="str">
        <f>IF($P77="是",COUNTIF($P$2:$P77,"是"),"")</f>
        <v/>
      </c>
    </row>
    <row r="78" spans="1:23" ht="27.75">
      <c r="A78" s="2" t="s">
        <v>118</v>
      </c>
      <c r="B78" s="2" t="s">
        <v>119</v>
      </c>
      <c r="C78" s="2" t="s">
        <v>120</v>
      </c>
      <c r="D78" s="2" t="s">
        <v>422</v>
      </c>
      <c r="E78" s="2" t="s">
        <v>423</v>
      </c>
      <c r="F78" s="2" t="s">
        <v>430</v>
      </c>
      <c r="G78" s="2" t="s">
        <v>431</v>
      </c>
      <c r="H78" s="2" t="s">
        <v>168</v>
      </c>
      <c r="I78" s="2" t="s">
        <v>290</v>
      </c>
      <c r="J78" s="2" t="s">
        <v>432</v>
      </c>
      <c r="K78" s="2" t="s">
        <v>201</v>
      </c>
      <c r="L78" s="2"/>
      <c r="M78" s="2"/>
      <c r="N78" s="2" t="str">
        <f t="shared" si="2"/>
        <v/>
      </c>
      <c r="O78" s="2"/>
      <c r="P78" s="2"/>
      <c r="Q78" s="2"/>
      <c r="R78" s="2"/>
      <c r="S78" s="2" t="s">
        <v>128</v>
      </c>
      <c r="T78" s="2"/>
      <c r="U78" s="2"/>
      <c r="V78" s="2" t="str">
        <f t="shared" si="3"/>
        <v/>
      </c>
      <c r="W78" t="str">
        <f>IF($P78="是",COUNTIF($P$2:$P78,"是"),"")</f>
        <v/>
      </c>
    </row>
    <row r="79" spans="1:23" ht="27.75">
      <c r="A79" s="2" t="s">
        <v>118</v>
      </c>
      <c r="B79" s="2" t="s">
        <v>119</v>
      </c>
      <c r="C79" s="2" t="s">
        <v>120</v>
      </c>
      <c r="D79" s="2" t="s">
        <v>422</v>
      </c>
      <c r="E79" s="2" t="s">
        <v>423</v>
      </c>
      <c r="F79" s="2" t="s">
        <v>433</v>
      </c>
      <c r="G79" s="2" t="s">
        <v>434</v>
      </c>
      <c r="H79" s="2" t="s">
        <v>21</v>
      </c>
      <c r="I79" s="2" t="s">
        <v>290</v>
      </c>
      <c r="J79" s="2" t="s">
        <v>435</v>
      </c>
      <c r="K79" s="2" t="s">
        <v>141</v>
      </c>
      <c r="L79" s="2"/>
      <c r="M79" s="2"/>
      <c r="N79" s="2" t="str">
        <f t="shared" si="2"/>
        <v/>
      </c>
      <c r="O79" s="2"/>
      <c r="P79" s="2"/>
      <c r="Q79" s="2"/>
      <c r="R79" s="2"/>
      <c r="S79" s="2" t="s">
        <v>128</v>
      </c>
      <c r="T79" s="2"/>
      <c r="U79" s="2"/>
      <c r="V79" s="2" t="str">
        <f t="shared" si="3"/>
        <v/>
      </c>
      <c r="W79" t="str">
        <f>IF($P79="是",COUNTIF($P$2:$P79,"是"),"")</f>
        <v/>
      </c>
    </row>
    <row r="80" spans="1:23" ht="27.75">
      <c r="A80" s="2" t="s">
        <v>118</v>
      </c>
      <c r="B80" s="2" t="s">
        <v>119</v>
      </c>
      <c r="C80" s="2" t="s">
        <v>120</v>
      </c>
      <c r="D80" s="2" t="s">
        <v>422</v>
      </c>
      <c r="E80" s="2" t="s">
        <v>423</v>
      </c>
      <c r="F80" s="2" t="s">
        <v>436</v>
      </c>
      <c r="G80" s="2" t="s">
        <v>437</v>
      </c>
      <c r="H80" s="2" t="s">
        <v>21</v>
      </c>
      <c r="I80" s="2" t="s">
        <v>277</v>
      </c>
      <c r="J80" s="2" t="s">
        <v>438</v>
      </c>
      <c r="K80" s="2" t="s">
        <v>141</v>
      </c>
      <c r="L80" s="2"/>
      <c r="M80" s="2"/>
      <c r="N80" s="2" t="str">
        <f t="shared" si="2"/>
        <v/>
      </c>
      <c r="O80" s="2"/>
      <c r="P80" s="2"/>
      <c r="Q80" s="2"/>
      <c r="R80" s="2"/>
      <c r="S80" s="2" t="s">
        <v>128</v>
      </c>
      <c r="T80" s="2"/>
      <c r="U80" s="2"/>
      <c r="V80" s="2" t="str">
        <f t="shared" si="3"/>
        <v/>
      </c>
      <c r="W80" t="str">
        <f>IF($P80="是",COUNTIF($P$2:$P80,"是"),"")</f>
        <v/>
      </c>
    </row>
    <row r="81" spans="1:23" ht="27.75">
      <c r="A81" s="2" t="s">
        <v>118</v>
      </c>
      <c r="B81" s="2" t="s">
        <v>119</v>
      </c>
      <c r="C81" s="2" t="s">
        <v>120</v>
      </c>
      <c r="D81" s="2" t="s">
        <v>422</v>
      </c>
      <c r="E81" s="2" t="s">
        <v>423</v>
      </c>
      <c r="F81" s="2" t="s">
        <v>439</v>
      </c>
      <c r="G81" s="2" t="s">
        <v>440</v>
      </c>
      <c r="H81" s="2" t="s">
        <v>307</v>
      </c>
      <c r="I81" s="2" t="s">
        <v>210</v>
      </c>
      <c r="J81" s="2" t="s">
        <v>441</v>
      </c>
      <c r="K81" s="2" t="s">
        <v>381</v>
      </c>
      <c r="L81" s="2"/>
      <c r="M81" s="2"/>
      <c r="N81" s="2" t="str">
        <f t="shared" si="2"/>
        <v/>
      </c>
      <c r="O81" s="2"/>
      <c r="P81" s="2"/>
      <c r="Q81" s="2"/>
      <c r="R81" s="2"/>
      <c r="S81" s="2" t="s">
        <v>128</v>
      </c>
      <c r="T81" s="2"/>
      <c r="U81" s="2"/>
      <c r="V81" s="2" t="str">
        <f t="shared" si="3"/>
        <v/>
      </c>
      <c r="W81" t="str">
        <f>IF($P81="是",COUNTIF($P$2:$P81,"是"),"")</f>
        <v/>
      </c>
    </row>
    <row r="82" spans="1:23" ht="27.75">
      <c r="A82" s="2" t="s">
        <v>118</v>
      </c>
      <c r="B82" s="2" t="s">
        <v>119</v>
      </c>
      <c r="C82" s="2" t="s">
        <v>120</v>
      </c>
      <c r="D82" s="2" t="s">
        <v>422</v>
      </c>
      <c r="E82" s="2" t="s">
        <v>423</v>
      </c>
      <c r="F82" s="2" t="s">
        <v>442</v>
      </c>
      <c r="G82" s="2" t="s">
        <v>443</v>
      </c>
      <c r="H82" s="2" t="s">
        <v>214</v>
      </c>
      <c r="I82" s="2" t="s">
        <v>444</v>
      </c>
      <c r="J82" s="2" t="s">
        <v>445</v>
      </c>
      <c r="K82" s="2" t="s">
        <v>184</v>
      </c>
      <c r="L82" s="2"/>
      <c r="M82" s="2"/>
      <c r="N82" s="2" t="str">
        <f t="shared" si="2"/>
        <v/>
      </c>
      <c r="O82" s="2"/>
      <c r="P82" s="2"/>
      <c r="Q82" s="2"/>
      <c r="R82" s="2"/>
      <c r="S82" s="2" t="s">
        <v>128</v>
      </c>
      <c r="T82" s="2"/>
      <c r="U82" s="2"/>
      <c r="V82" s="2" t="str">
        <f t="shared" si="3"/>
        <v/>
      </c>
      <c r="W82" t="str">
        <f>IF($P82="是",COUNTIF($P$2:$P82,"是"),"")</f>
        <v/>
      </c>
    </row>
    <row r="83" spans="1:23" ht="27.75">
      <c r="A83" s="2" t="s">
        <v>118</v>
      </c>
      <c r="B83" s="2" t="s">
        <v>119</v>
      </c>
      <c r="C83" s="2" t="s">
        <v>120</v>
      </c>
      <c r="D83" s="2" t="s">
        <v>422</v>
      </c>
      <c r="E83" s="2" t="s">
        <v>423</v>
      </c>
      <c r="F83" s="2" t="s">
        <v>446</v>
      </c>
      <c r="G83" s="2" t="s">
        <v>447</v>
      </c>
      <c r="H83" s="2" t="s">
        <v>144</v>
      </c>
      <c r="I83" s="2" t="s">
        <v>448</v>
      </c>
      <c r="J83" s="2" t="s">
        <v>449</v>
      </c>
      <c r="K83" s="2" t="s">
        <v>184</v>
      </c>
      <c r="L83" s="2"/>
      <c r="M83" s="2"/>
      <c r="N83" s="2" t="str">
        <f t="shared" si="2"/>
        <v/>
      </c>
      <c r="O83" s="2"/>
      <c r="P83" s="2"/>
      <c r="Q83" s="2"/>
      <c r="R83" s="2"/>
      <c r="S83" s="2" t="s">
        <v>128</v>
      </c>
      <c r="T83" s="2"/>
      <c r="U83" s="2"/>
      <c r="V83" s="2" t="str">
        <f t="shared" si="3"/>
        <v/>
      </c>
      <c r="W83" t="str">
        <f>IF($P83="是",COUNTIF($P$2:$P83,"是"),"")</f>
        <v/>
      </c>
    </row>
    <row r="84" spans="1:23" ht="55.5">
      <c r="A84" s="2" t="s">
        <v>118</v>
      </c>
      <c r="B84" s="2" t="s">
        <v>450</v>
      </c>
      <c r="C84" s="2" t="s">
        <v>451</v>
      </c>
      <c r="D84" s="2" t="s">
        <v>452</v>
      </c>
      <c r="E84" s="2" t="s">
        <v>453</v>
      </c>
      <c r="F84" s="2" t="s">
        <v>454</v>
      </c>
      <c r="G84" s="2" t="s">
        <v>455</v>
      </c>
      <c r="H84" s="2" t="s">
        <v>21</v>
      </c>
      <c r="I84" s="2" t="s">
        <v>456</v>
      </c>
      <c r="J84" s="2" t="s">
        <v>457</v>
      </c>
      <c r="K84" s="2" t="s">
        <v>127</v>
      </c>
      <c r="L84" s="2"/>
      <c r="M84" s="2"/>
      <c r="N84" s="2" t="str">
        <f t="shared" si="2"/>
        <v/>
      </c>
      <c r="O84" s="2"/>
      <c r="P84" s="2"/>
      <c r="Q84" s="2"/>
      <c r="R84" s="2"/>
      <c r="S84" s="2" t="s">
        <v>128</v>
      </c>
      <c r="T84" s="2"/>
      <c r="U84" s="2" t="s">
        <v>458</v>
      </c>
      <c r="V84" s="2" t="str">
        <f t="shared" si="3"/>
        <v/>
      </c>
      <c r="W84" t="str">
        <f>IF($P84="是",COUNTIF($P$2:$P84,"是"),"")</f>
        <v/>
      </c>
    </row>
    <row r="85" spans="1:23" ht="41.65">
      <c r="A85" s="2" t="s">
        <v>118</v>
      </c>
      <c r="B85" s="2" t="s">
        <v>450</v>
      </c>
      <c r="C85" s="2" t="s">
        <v>451</v>
      </c>
      <c r="D85" s="2" t="s">
        <v>452</v>
      </c>
      <c r="E85" s="2" t="s">
        <v>453</v>
      </c>
      <c r="F85" s="2" t="s">
        <v>459</v>
      </c>
      <c r="G85" s="2" t="s">
        <v>460</v>
      </c>
      <c r="H85" s="2" t="s">
        <v>21</v>
      </c>
      <c r="I85" s="2" t="s">
        <v>461</v>
      </c>
      <c r="J85" s="2" t="s">
        <v>462</v>
      </c>
      <c r="K85" s="2" t="s">
        <v>127</v>
      </c>
      <c r="L85" s="2"/>
      <c r="M85" s="2"/>
      <c r="N85" s="2" t="str">
        <f t="shared" si="2"/>
        <v/>
      </c>
      <c r="O85" s="2"/>
      <c r="P85" s="2"/>
      <c r="Q85" s="2"/>
      <c r="R85" s="2"/>
      <c r="S85" s="2" t="s">
        <v>128</v>
      </c>
      <c r="T85" s="2"/>
      <c r="U85" s="2"/>
      <c r="V85" s="2" t="str">
        <f t="shared" si="3"/>
        <v/>
      </c>
      <c r="W85" t="str">
        <f>IF($P85="是",COUNTIF($P$2:$P85,"是"),"")</f>
        <v/>
      </c>
    </row>
    <row r="86" spans="1:23" ht="41.65">
      <c r="A86" s="2" t="s">
        <v>118</v>
      </c>
      <c r="B86" s="2" t="s">
        <v>450</v>
      </c>
      <c r="C86" s="2" t="s">
        <v>451</v>
      </c>
      <c r="D86" s="2" t="s">
        <v>452</v>
      </c>
      <c r="E86" s="2" t="s">
        <v>453</v>
      </c>
      <c r="F86" s="2" t="s">
        <v>463</v>
      </c>
      <c r="G86" s="2" t="s">
        <v>464</v>
      </c>
      <c r="H86" s="2" t="s">
        <v>21</v>
      </c>
      <c r="I86" s="2" t="s">
        <v>465</v>
      </c>
      <c r="J86" s="2" t="s">
        <v>466</v>
      </c>
      <c r="K86" s="2" t="s">
        <v>132</v>
      </c>
      <c r="L86" s="2"/>
      <c r="M86" s="2"/>
      <c r="N86" s="2" t="str">
        <f t="shared" si="2"/>
        <v/>
      </c>
      <c r="O86" s="2"/>
      <c r="P86" s="2"/>
      <c r="Q86" s="2"/>
      <c r="R86" s="2"/>
      <c r="S86" s="2" t="s">
        <v>128</v>
      </c>
      <c r="T86" s="2"/>
      <c r="U86" s="2"/>
      <c r="V86" s="2" t="str">
        <f t="shared" si="3"/>
        <v/>
      </c>
      <c r="W86" t="str">
        <f>IF($P86="是",COUNTIF($P$2:$P86,"是"),"")</f>
        <v/>
      </c>
    </row>
    <row r="87" spans="1:23" ht="41.65">
      <c r="A87" s="2" t="s">
        <v>118</v>
      </c>
      <c r="B87" s="2" t="s">
        <v>450</v>
      </c>
      <c r="C87" s="2" t="s">
        <v>451</v>
      </c>
      <c r="D87" s="2" t="s">
        <v>452</v>
      </c>
      <c r="E87" s="2" t="s">
        <v>453</v>
      </c>
      <c r="F87" s="2" t="s">
        <v>467</v>
      </c>
      <c r="G87" s="2" t="s">
        <v>468</v>
      </c>
      <c r="H87" s="2" t="s">
        <v>21</v>
      </c>
      <c r="I87" s="2" t="s">
        <v>469</v>
      </c>
      <c r="J87" s="2" t="s">
        <v>470</v>
      </c>
      <c r="K87" s="2" t="s">
        <v>137</v>
      </c>
      <c r="L87" s="2"/>
      <c r="M87" s="2"/>
      <c r="N87" s="2" t="str">
        <f t="shared" si="2"/>
        <v/>
      </c>
      <c r="O87" s="2"/>
      <c r="P87" s="2"/>
      <c r="Q87" s="2"/>
      <c r="R87" s="2"/>
      <c r="S87" s="2" t="s">
        <v>128</v>
      </c>
      <c r="T87" s="2"/>
      <c r="U87" s="2" t="s">
        <v>471</v>
      </c>
      <c r="V87" s="2" t="str">
        <f t="shared" si="3"/>
        <v/>
      </c>
      <c r="W87" t="str">
        <f>IF($P87="是",COUNTIF($P$2:$P87,"是"),"")</f>
        <v/>
      </c>
    </row>
    <row r="88" spans="1:23" ht="41.65">
      <c r="A88" s="2" t="s">
        <v>118</v>
      </c>
      <c r="B88" s="2" t="s">
        <v>450</v>
      </c>
      <c r="C88" s="2" t="s">
        <v>451</v>
      </c>
      <c r="D88" s="2" t="s">
        <v>452</v>
      </c>
      <c r="E88" s="2" t="s">
        <v>453</v>
      </c>
      <c r="F88" s="2" t="s">
        <v>472</v>
      </c>
      <c r="G88" s="2" t="s">
        <v>473</v>
      </c>
      <c r="H88" s="2" t="s">
        <v>24</v>
      </c>
      <c r="I88" s="2" t="s">
        <v>474</v>
      </c>
      <c r="J88" s="2" t="s">
        <v>475</v>
      </c>
      <c r="K88" s="2" t="s">
        <v>141</v>
      </c>
      <c r="L88" s="2"/>
      <c r="M88" s="2"/>
      <c r="N88" s="2" t="str">
        <f t="shared" si="2"/>
        <v/>
      </c>
      <c r="O88" s="2"/>
      <c r="P88" s="2"/>
      <c r="Q88" s="2"/>
      <c r="R88" s="2"/>
      <c r="S88" s="2" t="s">
        <v>128</v>
      </c>
      <c r="T88" s="2"/>
      <c r="U88" s="2"/>
      <c r="V88" s="2" t="str">
        <f t="shared" si="3"/>
        <v/>
      </c>
      <c r="W88" t="str">
        <f>IF($P88="是",COUNTIF($P$2:$P88,"是"),"")</f>
        <v/>
      </c>
    </row>
    <row r="89" spans="1:23" ht="41.65">
      <c r="A89" s="2" t="s">
        <v>118</v>
      </c>
      <c r="B89" s="2" t="s">
        <v>450</v>
      </c>
      <c r="C89" s="2" t="s">
        <v>451</v>
      </c>
      <c r="D89" s="2" t="s">
        <v>452</v>
      </c>
      <c r="E89" s="2" t="s">
        <v>453</v>
      </c>
      <c r="F89" s="2" t="s">
        <v>476</v>
      </c>
      <c r="G89" s="2" t="s">
        <v>477</v>
      </c>
      <c r="H89" s="2" t="s">
        <v>27</v>
      </c>
      <c r="I89" s="2" t="s">
        <v>474</v>
      </c>
      <c r="J89" s="2" t="s">
        <v>478</v>
      </c>
      <c r="K89" s="2" t="s">
        <v>479</v>
      </c>
      <c r="L89" s="2"/>
      <c r="M89" s="2"/>
      <c r="N89" s="2" t="str">
        <f t="shared" si="2"/>
        <v/>
      </c>
      <c r="O89" s="2"/>
      <c r="P89" s="2"/>
      <c r="Q89" s="2"/>
      <c r="R89" s="2"/>
      <c r="S89" s="2" t="s">
        <v>128</v>
      </c>
      <c r="T89" s="2"/>
      <c r="U89" s="2"/>
      <c r="V89" s="2" t="str">
        <f t="shared" si="3"/>
        <v/>
      </c>
      <c r="W89" t="str">
        <f>IF($P89="是",COUNTIF($P$2:$P89,"是"),"")</f>
        <v/>
      </c>
    </row>
    <row r="90" spans="1:23" ht="69.400000000000006">
      <c r="A90" s="2" t="s">
        <v>118</v>
      </c>
      <c r="B90" s="2" t="s">
        <v>450</v>
      </c>
      <c r="C90" s="2" t="s">
        <v>451</v>
      </c>
      <c r="D90" s="2" t="s">
        <v>480</v>
      </c>
      <c r="E90" s="2" t="s">
        <v>481</v>
      </c>
      <c r="F90" s="2" t="s">
        <v>482</v>
      </c>
      <c r="G90" s="2" t="s">
        <v>483</v>
      </c>
      <c r="H90" s="2" t="s">
        <v>168</v>
      </c>
      <c r="I90" s="2" t="s">
        <v>484</v>
      </c>
      <c r="J90" s="2" t="s">
        <v>485</v>
      </c>
      <c r="K90" s="2" t="s">
        <v>486</v>
      </c>
      <c r="L90" s="2"/>
      <c r="M90" s="2"/>
      <c r="N90" s="2" t="str">
        <f t="shared" si="2"/>
        <v/>
      </c>
      <c r="O90" s="2"/>
      <c r="P90" s="2"/>
      <c r="Q90" s="2"/>
      <c r="R90" s="2"/>
      <c r="S90" s="2" t="s">
        <v>128</v>
      </c>
      <c r="T90" s="2"/>
      <c r="U90" s="2" t="s">
        <v>487</v>
      </c>
      <c r="V90" s="2" t="str">
        <f t="shared" si="3"/>
        <v/>
      </c>
      <c r="W90" t="str">
        <f>IF($P90="是",COUNTIF($P$2:$P90,"是"),"")</f>
        <v/>
      </c>
    </row>
    <row r="91" spans="1:23" ht="55.5">
      <c r="A91" s="2" t="s">
        <v>118</v>
      </c>
      <c r="B91" s="2" t="s">
        <v>450</v>
      </c>
      <c r="C91" s="2" t="s">
        <v>451</v>
      </c>
      <c r="D91" s="2" t="s">
        <v>480</v>
      </c>
      <c r="E91" s="2" t="s">
        <v>481</v>
      </c>
      <c r="F91" s="2" t="s">
        <v>488</v>
      </c>
      <c r="G91" s="2" t="s">
        <v>489</v>
      </c>
      <c r="H91" s="2" t="s">
        <v>24</v>
      </c>
      <c r="I91" s="2" t="s">
        <v>490</v>
      </c>
      <c r="J91" s="2" t="s">
        <v>491</v>
      </c>
      <c r="K91" s="2" t="s">
        <v>147</v>
      </c>
      <c r="L91" s="2"/>
      <c r="M91" s="2"/>
      <c r="N91" s="2" t="str">
        <f t="shared" si="2"/>
        <v/>
      </c>
      <c r="O91" s="2"/>
      <c r="P91" s="2"/>
      <c r="Q91" s="2"/>
      <c r="R91" s="2"/>
      <c r="S91" s="2" t="s">
        <v>128</v>
      </c>
      <c r="T91" s="2"/>
      <c r="U91" s="2"/>
      <c r="V91" s="2" t="str">
        <f t="shared" si="3"/>
        <v/>
      </c>
      <c r="W91" t="str">
        <f>IF($P91="是",COUNTIF($P$2:$P91,"是"),"")</f>
        <v/>
      </c>
    </row>
    <row r="92" spans="1:23" ht="41.65">
      <c r="A92" s="2" t="s">
        <v>118</v>
      </c>
      <c r="B92" s="2" t="s">
        <v>450</v>
      </c>
      <c r="C92" s="2" t="s">
        <v>451</v>
      </c>
      <c r="D92" s="2" t="s">
        <v>480</v>
      </c>
      <c r="E92" s="2" t="s">
        <v>481</v>
      </c>
      <c r="F92" s="2" t="s">
        <v>492</v>
      </c>
      <c r="G92" s="2" t="s">
        <v>493</v>
      </c>
      <c r="H92" s="2" t="s">
        <v>168</v>
      </c>
      <c r="I92" s="2" t="s">
        <v>465</v>
      </c>
      <c r="J92" s="2" t="s">
        <v>494</v>
      </c>
      <c r="K92" s="2" t="s">
        <v>174</v>
      </c>
      <c r="L92" s="2"/>
      <c r="M92" s="2"/>
      <c r="N92" s="2" t="str">
        <f t="shared" si="2"/>
        <v/>
      </c>
      <c r="O92" s="2"/>
      <c r="P92" s="2"/>
      <c r="Q92" s="2"/>
      <c r="R92" s="2"/>
      <c r="S92" s="2" t="s">
        <v>128</v>
      </c>
      <c r="T92" s="2"/>
      <c r="U92" s="2"/>
      <c r="V92" s="2" t="str">
        <f t="shared" si="3"/>
        <v/>
      </c>
      <c r="W92" t="str">
        <f>IF($P92="是",COUNTIF($P$2:$P92,"是"),"")</f>
        <v/>
      </c>
    </row>
    <row r="93" spans="1:23" ht="41.65">
      <c r="A93" s="2" t="s">
        <v>118</v>
      </c>
      <c r="B93" s="2" t="s">
        <v>450</v>
      </c>
      <c r="C93" s="2" t="s">
        <v>451</v>
      </c>
      <c r="D93" s="2" t="s">
        <v>480</v>
      </c>
      <c r="E93" s="2" t="s">
        <v>481</v>
      </c>
      <c r="F93" s="2" t="s">
        <v>495</v>
      </c>
      <c r="G93" s="2" t="s">
        <v>496</v>
      </c>
      <c r="H93" s="2" t="s">
        <v>168</v>
      </c>
      <c r="I93" s="2" t="s">
        <v>465</v>
      </c>
      <c r="J93" s="2" t="s">
        <v>497</v>
      </c>
      <c r="K93" s="2" t="s">
        <v>174</v>
      </c>
      <c r="L93" s="2"/>
      <c r="M93" s="2"/>
      <c r="N93" s="2" t="str">
        <f t="shared" si="2"/>
        <v/>
      </c>
      <c r="O93" s="2"/>
      <c r="P93" s="2"/>
      <c r="Q93" s="2"/>
      <c r="R93" s="2"/>
      <c r="S93" s="2" t="s">
        <v>128</v>
      </c>
      <c r="T93" s="2"/>
      <c r="U93" s="2"/>
      <c r="V93" s="2" t="str">
        <f t="shared" si="3"/>
        <v/>
      </c>
      <c r="W93" t="str">
        <f>IF($P93="是",COUNTIF($P$2:$P93,"是"),"")</f>
        <v/>
      </c>
    </row>
    <row r="94" spans="1:23" ht="27.75">
      <c r="A94" s="2" t="s">
        <v>118</v>
      </c>
      <c r="B94" s="2" t="s">
        <v>450</v>
      </c>
      <c r="C94" s="2" t="s">
        <v>451</v>
      </c>
      <c r="D94" s="2" t="s">
        <v>480</v>
      </c>
      <c r="E94" s="2" t="s">
        <v>481</v>
      </c>
      <c r="F94" s="2" t="s">
        <v>498</v>
      </c>
      <c r="G94" s="2" t="s">
        <v>499</v>
      </c>
      <c r="H94" s="2" t="s">
        <v>24</v>
      </c>
      <c r="I94" s="2" t="s">
        <v>465</v>
      </c>
      <c r="J94" s="2" t="s">
        <v>500</v>
      </c>
      <c r="K94" s="2" t="s">
        <v>174</v>
      </c>
      <c r="L94" s="2"/>
      <c r="M94" s="2"/>
      <c r="N94" s="2" t="str">
        <f t="shared" si="2"/>
        <v/>
      </c>
      <c r="O94" s="2"/>
      <c r="P94" s="2"/>
      <c r="Q94" s="2"/>
      <c r="R94" s="2"/>
      <c r="S94" s="2" t="s">
        <v>128</v>
      </c>
      <c r="T94" s="2"/>
      <c r="U94" s="2"/>
      <c r="V94" s="2" t="str">
        <f t="shared" si="3"/>
        <v/>
      </c>
      <c r="W94" t="str">
        <f>IF($P94="是",COUNTIF($P$2:$P94,"是"),"")</f>
        <v/>
      </c>
    </row>
    <row r="95" spans="1:23" ht="41.65">
      <c r="A95" s="2" t="s">
        <v>118</v>
      </c>
      <c r="B95" s="2" t="s">
        <v>450</v>
      </c>
      <c r="C95" s="2" t="s">
        <v>451</v>
      </c>
      <c r="D95" s="2" t="s">
        <v>480</v>
      </c>
      <c r="E95" s="2" t="s">
        <v>481</v>
      </c>
      <c r="F95" s="2" t="s">
        <v>501</v>
      </c>
      <c r="G95" s="2" t="s">
        <v>502</v>
      </c>
      <c r="H95" s="2" t="s">
        <v>168</v>
      </c>
      <c r="I95" s="2" t="s">
        <v>503</v>
      </c>
      <c r="J95" s="2" t="s">
        <v>504</v>
      </c>
      <c r="K95" s="2" t="s">
        <v>147</v>
      </c>
      <c r="L95" s="2"/>
      <c r="M95" s="2"/>
      <c r="N95" s="2" t="str">
        <f t="shared" si="2"/>
        <v/>
      </c>
      <c r="O95" s="2"/>
      <c r="P95" s="2"/>
      <c r="Q95" s="2"/>
      <c r="R95" s="2"/>
      <c r="S95" s="2" t="s">
        <v>128</v>
      </c>
      <c r="T95" s="2"/>
      <c r="U95" s="2"/>
      <c r="V95" s="2" t="str">
        <f t="shared" si="3"/>
        <v/>
      </c>
      <c r="W95" t="str">
        <f>IF($P95="是",COUNTIF($P$2:$P95,"是"),"")</f>
        <v/>
      </c>
    </row>
    <row r="96" spans="1:23" ht="41.65">
      <c r="A96" s="2" t="s">
        <v>118</v>
      </c>
      <c r="B96" s="2" t="s">
        <v>450</v>
      </c>
      <c r="C96" s="2" t="s">
        <v>451</v>
      </c>
      <c r="D96" s="2" t="s">
        <v>480</v>
      </c>
      <c r="E96" s="2" t="s">
        <v>481</v>
      </c>
      <c r="F96" s="2" t="s">
        <v>505</v>
      </c>
      <c r="G96" s="2" t="s">
        <v>506</v>
      </c>
      <c r="H96" s="2" t="s">
        <v>24</v>
      </c>
      <c r="I96" s="2" t="s">
        <v>503</v>
      </c>
      <c r="J96" s="2" t="s">
        <v>507</v>
      </c>
      <c r="K96" s="2" t="s">
        <v>147</v>
      </c>
      <c r="L96" s="2"/>
      <c r="M96" s="2"/>
      <c r="N96" s="2" t="str">
        <f t="shared" si="2"/>
        <v/>
      </c>
      <c r="O96" s="2"/>
      <c r="P96" s="2"/>
      <c r="Q96" s="2"/>
      <c r="R96" s="2"/>
      <c r="S96" s="2" t="s">
        <v>128</v>
      </c>
      <c r="T96" s="2"/>
      <c r="U96" s="2"/>
      <c r="V96" s="2" t="str">
        <f t="shared" si="3"/>
        <v/>
      </c>
      <c r="W96" t="str">
        <f>IF($P96="是",COUNTIF($P$2:$P96,"是"),"")</f>
        <v/>
      </c>
    </row>
    <row r="97" spans="1:23" ht="41.65">
      <c r="A97" s="2" t="s">
        <v>118</v>
      </c>
      <c r="B97" s="2" t="s">
        <v>450</v>
      </c>
      <c r="C97" s="2" t="s">
        <v>451</v>
      </c>
      <c r="D97" s="2" t="s">
        <v>480</v>
      </c>
      <c r="E97" s="2" t="s">
        <v>481</v>
      </c>
      <c r="F97" s="2" t="s">
        <v>508</v>
      </c>
      <c r="G97" s="2" t="s">
        <v>509</v>
      </c>
      <c r="H97" s="2" t="s">
        <v>307</v>
      </c>
      <c r="I97" s="2" t="s">
        <v>465</v>
      </c>
      <c r="J97" s="2" t="s">
        <v>510</v>
      </c>
      <c r="K97" s="2" t="s">
        <v>184</v>
      </c>
      <c r="L97" s="2"/>
      <c r="M97" s="2"/>
      <c r="N97" s="2" t="str">
        <f t="shared" si="2"/>
        <v/>
      </c>
      <c r="O97" s="2"/>
      <c r="P97" s="2"/>
      <c r="Q97" s="2"/>
      <c r="R97" s="2"/>
      <c r="S97" s="2" t="s">
        <v>128</v>
      </c>
      <c r="T97" s="2"/>
      <c r="U97" s="2"/>
      <c r="V97" s="2" t="str">
        <f t="shared" si="3"/>
        <v/>
      </c>
      <c r="W97" t="str">
        <f>IF($P97="是",COUNTIF($P$2:$P97,"是"),"")</f>
        <v/>
      </c>
    </row>
    <row r="98" spans="1:23" ht="55.5">
      <c r="A98" s="2" t="s">
        <v>118</v>
      </c>
      <c r="B98" s="2" t="s">
        <v>450</v>
      </c>
      <c r="C98" s="2" t="s">
        <v>451</v>
      </c>
      <c r="D98" s="2" t="s">
        <v>480</v>
      </c>
      <c r="E98" s="2" t="s">
        <v>481</v>
      </c>
      <c r="F98" s="2" t="s">
        <v>511</v>
      </c>
      <c r="G98" s="2" t="s">
        <v>512</v>
      </c>
      <c r="H98" s="2" t="s">
        <v>513</v>
      </c>
      <c r="I98" s="2" t="s">
        <v>514</v>
      </c>
      <c r="J98" s="2" t="s">
        <v>515</v>
      </c>
      <c r="K98" s="2" t="s">
        <v>158</v>
      </c>
      <c r="L98" s="2"/>
      <c r="M98" s="2"/>
      <c r="N98" s="2" t="str">
        <f t="shared" si="2"/>
        <v/>
      </c>
      <c r="O98" s="2"/>
      <c r="P98" s="2"/>
      <c r="Q98" s="2"/>
      <c r="R98" s="2"/>
      <c r="S98" s="2" t="s">
        <v>128</v>
      </c>
      <c r="T98" s="2"/>
      <c r="U98" s="2" t="s">
        <v>516</v>
      </c>
      <c r="V98" s="2" t="str">
        <f t="shared" si="3"/>
        <v/>
      </c>
      <c r="W98" t="str">
        <f>IF($P98="是",COUNTIF($P$2:$P98,"是"),"")</f>
        <v/>
      </c>
    </row>
    <row r="99" spans="1:23" ht="55.5">
      <c r="A99" s="2" t="s">
        <v>118</v>
      </c>
      <c r="B99" s="2" t="s">
        <v>450</v>
      </c>
      <c r="C99" s="2" t="s">
        <v>451</v>
      </c>
      <c r="D99" s="2" t="s">
        <v>517</v>
      </c>
      <c r="E99" s="2" t="s">
        <v>518</v>
      </c>
      <c r="F99" s="2" t="s">
        <v>519</v>
      </c>
      <c r="G99" s="2" t="s">
        <v>520</v>
      </c>
      <c r="H99" s="2" t="s">
        <v>168</v>
      </c>
      <c r="I99" s="2" t="s">
        <v>521</v>
      </c>
      <c r="J99" s="2" t="s">
        <v>522</v>
      </c>
      <c r="K99" s="2" t="s">
        <v>158</v>
      </c>
      <c r="L99" s="2"/>
      <c r="M99" s="2"/>
      <c r="N99" s="2" t="str">
        <f t="shared" si="2"/>
        <v/>
      </c>
      <c r="O99" s="2"/>
      <c r="P99" s="2"/>
      <c r="Q99" s="2"/>
      <c r="R99" s="2"/>
      <c r="S99" s="2" t="s">
        <v>128</v>
      </c>
      <c r="T99" s="2"/>
      <c r="U99" s="2" t="s">
        <v>523</v>
      </c>
      <c r="V99" s="2" t="str">
        <f t="shared" si="3"/>
        <v/>
      </c>
      <c r="W99" t="str">
        <f>IF($P99="是",COUNTIF($P$2:$P99,"是"),"")</f>
        <v/>
      </c>
    </row>
    <row r="100" spans="1:23" ht="41.65">
      <c r="A100" s="2" t="s">
        <v>118</v>
      </c>
      <c r="B100" s="2" t="s">
        <v>450</v>
      </c>
      <c r="C100" s="2" t="s">
        <v>451</v>
      </c>
      <c r="D100" s="2" t="s">
        <v>517</v>
      </c>
      <c r="E100" s="2" t="s">
        <v>518</v>
      </c>
      <c r="F100" s="2" t="s">
        <v>524</v>
      </c>
      <c r="G100" s="2" t="s">
        <v>525</v>
      </c>
      <c r="H100" s="2" t="s">
        <v>168</v>
      </c>
      <c r="I100" s="2" t="s">
        <v>469</v>
      </c>
      <c r="J100" s="2" t="s">
        <v>526</v>
      </c>
      <c r="K100" s="2" t="s">
        <v>527</v>
      </c>
      <c r="L100" s="2"/>
      <c r="M100" s="2"/>
      <c r="N100" s="2" t="str">
        <f t="shared" si="2"/>
        <v/>
      </c>
      <c r="O100" s="2"/>
      <c r="P100" s="2"/>
      <c r="Q100" s="2"/>
      <c r="R100" s="2"/>
      <c r="S100" s="2" t="s">
        <v>128</v>
      </c>
      <c r="T100" s="2"/>
      <c r="U100" s="2"/>
      <c r="V100" s="2" t="str">
        <f t="shared" si="3"/>
        <v/>
      </c>
      <c r="W100" t="str">
        <f>IF($P100="是",COUNTIF($P$2:$P100,"是"),"")</f>
        <v/>
      </c>
    </row>
    <row r="101" spans="1:23" ht="55.5">
      <c r="A101" s="2" t="s">
        <v>118</v>
      </c>
      <c r="B101" s="2" t="s">
        <v>450</v>
      </c>
      <c r="C101" s="2" t="s">
        <v>451</v>
      </c>
      <c r="D101" s="2" t="s">
        <v>517</v>
      </c>
      <c r="E101" s="2" t="s">
        <v>518</v>
      </c>
      <c r="F101" s="2" t="s">
        <v>528</v>
      </c>
      <c r="G101" s="2" t="s">
        <v>529</v>
      </c>
      <c r="H101" s="2" t="s">
        <v>168</v>
      </c>
      <c r="I101" s="2" t="s">
        <v>530</v>
      </c>
      <c r="J101" s="2" t="s">
        <v>531</v>
      </c>
      <c r="K101" s="2" t="s">
        <v>527</v>
      </c>
      <c r="L101" s="2"/>
      <c r="M101" s="2"/>
      <c r="N101" s="2" t="str">
        <f t="shared" si="2"/>
        <v/>
      </c>
      <c r="O101" s="2"/>
      <c r="P101" s="2"/>
      <c r="Q101" s="2"/>
      <c r="R101" s="2"/>
      <c r="S101" s="2" t="s">
        <v>128</v>
      </c>
      <c r="T101" s="2"/>
      <c r="U101" s="2"/>
      <c r="V101" s="2" t="str">
        <f t="shared" si="3"/>
        <v/>
      </c>
      <c r="W101" t="str">
        <f>IF($P101="是",COUNTIF($P$2:$P101,"是"),"")</f>
        <v/>
      </c>
    </row>
    <row r="102" spans="1:23" ht="41.65">
      <c r="A102" s="2" t="s">
        <v>118</v>
      </c>
      <c r="B102" s="2" t="s">
        <v>450</v>
      </c>
      <c r="C102" s="2" t="s">
        <v>451</v>
      </c>
      <c r="D102" s="2" t="s">
        <v>517</v>
      </c>
      <c r="E102" s="2" t="s">
        <v>518</v>
      </c>
      <c r="F102" s="2" t="s">
        <v>532</v>
      </c>
      <c r="G102" s="2" t="s">
        <v>533</v>
      </c>
      <c r="H102" s="2" t="s">
        <v>307</v>
      </c>
      <c r="I102" s="2" t="s">
        <v>469</v>
      </c>
      <c r="J102" s="2" t="s">
        <v>534</v>
      </c>
      <c r="K102" s="2" t="s">
        <v>184</v>
      </c>
      <c r="L102" s="2"/>
      <c r="M102" s="2"/>
      <c r="N102" s="2" t="str">
        <f t="shared" si="2"/>
        <v/>
      </c>
      <c r="O102" s="2"/>
      <c r="P102" s="2"/>
      <c r="Q102" s="2"/>
      <c r="R102" s="2"/>
      <c r="S102" s="2" t="s">
        <v>128</v>
      </c>
      <c r="T102" s="2"/>
      <c r="U102" s="2"/>
      <c r="V102" s="2" t="str">
        <f t="shared" si="3"/>
        <v/>
      </c>
      <c r="W102" t="str">
        <f>IF($P102="是",COUNTIF($P$2:$P102,"是"),"")</f>
        <v/>
      </c>
    </row>
    <row r="103" spans="1:23" ht="41.65">
      <c r="A103" s="2" t="s">
        <v>118</v>
      </c>
      <c r="B103" s="2" t="s">
        <v>450</v>
      </c>
      <c r="C103" s="2" t="s">
        <v>451</v>
      </c>
      <c r="D103" s="2" t="s">
        <v>517</v>
      </c>
      <c r="E103" s="2" t="s">
        <v>518</v>
      </c>
      <c r="F103" s="2" t="s">
        <v>535</v>
      </c>
      <c r="G103" s="2" t="s">
        <v>536</v>
      </c>
      <c r="H103" s="2" t="s">
        <v>27</v>
      </c>
      <c r="I103" s="2" t="s">
        <v>537</v>
      </c>
      <c r="J103" s="2" t="s">
        <v>538</v>
      </c>
      <c r="K103" s="2" t="s">
        <v>158</v>
      </c>
      <c r="L103" s="2"/>
      <c r="M103" s="2"/>
      <c r="N103" s="2" t="str">
        <f t="shared" si="2"/>
        <v/>
      </c>
      <c r="O103" s="2"/>
      <c r="P103" s="2"/>
      <c r="Q103" s="2"/>
      <c r="R103" s="2"/>
      <c r="S103" s="2" t="s">
        <v>128</v>
      </c>
      <c r="T103" s="2"/>
      <c r="U103" s="2"/>
      <c r="V103" s="2" t="str">
        <f t="shared" si="3"/>
        <v/>
      </c>
      <c r="W103" t="str">
        <f>IF($P103="是",COUNTIF($P$2:$P103,"是"),"")</f>
        <v/>
      </c>
    </row>
    <row r="104" spans="1:23" ht="41.65">
      <c r="A104" s="2" t="s">
        <v>118</v>
      </c>
      <c r="B104" s="2" t="s">
        <v>450</v>
      </c>
      <c r="C104" s="2" t="s">
        <v>451</v>
      </c>
      <c r="D104" s="2" t="s">
        <v>539</v>
      </c>
      <c r="E104" s="2" t="s">
        <v>540</v>
      </c>
      <c r="F104" s="2" t="s">
        <v>541</v>
      </c>
      <c r="G104" s="2" t="s">
        <v>542</v>
      </c>
      <c r="H104" s="2" t="s">
        <v>21</v>
      </c>
      <c r="I104" s="2" t="s">
        <v>543</v>
      </c>
      <c r="J104" s="2" t="s">
        <v>544</v>
      </c>
      <c r="K104" s="2" t="s">
        <v>132</v>
      </c>
      <c r="L104" s="2"/>
      <c r="M104" s="2"/>
      <c r="N104" s="2" t="str">
        <f t="shared" si="2"/>
        <v/>
      </c>
      <c r="O104" s="2"/>
      <c r="P104" s="2"/>
      <c r="Q104" s="2"/>
      <c r="R104" s="2"/>
      <c r="S104" s="2" t="s">
        <v>128</v>
      </c>
      <c r="T104" s="2"/>
      <c r="U104" s="2" t="s">
        <v>545</v>
      </c>
      <c r="V104" s="2" t="str">
        <f t="shared" si="3"/>
        <v/>
      </c>
      <c r="W104" t="str">
        <f>IF($P104="是",COUNTIF($P$2:$P104,"是"),"")</f>
        <v/>
      </c>
    </row>
    <row r="105" spans="1:23" ht="41.65">
      <c r="A105" s="2" t="s">
        <v>118</v>
      </c>
      <c r="B105" s="2" t="s">
        <v>450</v>
      </c>
      <c r="C105" s="2" t="s">
        <v>451</v>
      </c>
      <c r="D105" s="2" t="s">
        <v>539</v>
      </c>
      <c r="E105" s="2" t="s">
        <v>540</v>
      </c>
      <c r="F105" s="2" t="s">
        <v>546</v>
      </c>
      <c r="G105" s="2" t="s">
        <v>547</v>
      </c>
      <c r="H105" s="2" t="s">
        <v>168</v>
      </c>
      <c r="I105" s="2" t="s">
        <v>543</v>
      </c>
      <c r="J105" s="2" t="s">
        <v>548</v>
      </c>
      <c r="K105" s="2" t="s">
        <v>361</v>
      </c>
      <c r="L105" s="2"/>
      <c r="M105" s="2"/>
      <c r="N105" s="2" t="str">
        <f t="shared" si="2"/>
        <v/>
      </c>
      <c r="O105" s="2"/>
      <c r="P105" s="2"/>
      <c r="Q105" s="2"/>
      <c r="R105" s="2"/>
      <c r="S105" s="2" t="s">
        <v>128</v>
      </c>
      <c r="T105" s="2"/>
      <c r="U105" s="2"/>
      <c r="V105" s="2" t="str">
        <f t="shared" si="3"/>
        <v/>
      </c>
      <c r="W105" t="str">
        <f>IF($P105="是",COUNTIF($P$2:$P105,"是"),"")</f>
        <v/>
      </c>
    </row>
    <row r="106" spans="1:23" ht="41.65">
      <c r="A106" s="2" t="s">
        <v>118</v>
      </c>
      <c r="B106" s="2" t="s">
        <v>450</v>
      </c>
      <c r="C106" s="2" t="s">
        <v>451</v>
      </c>
      <c r="D106" s="2" t="s">
        <v>539</v>
      </c>
      <c r="E106" s="2" t="s">
        <v>540</v>
      </c>
      <c r="F106" s="2" t="s">
        <v>549</v>
      </c>
      <c r="G106" s="2" t="s">
        <v>550</v>
      </c>
      <c r="H106" s="2" t="s">
        <v>21</v>
      </c>
      <c r="I106" s="2" t="s">
        <v>543</v>
      </c>
      <c r="J106" s="2" t="s">
        <v>551</v>
      </c>
      <c r="K106" s="2" t="s">
        <v>141</v>
      </c>
      <c r="L106" s="2"/>
      <c r="M106" s="2"/>
      <c r="N106" s="2" t="str">
        <f t="shared" si="2"/>
        <v/>
      </c>
      <c r="O106" s="2"/>
      <c r="P106" s="2"/>
      <c r="Q106" s="2"/>
      <c r="R106" s="2"/>
      <c r="S106" s="2" t="s">
        <v>128</v>
      </c>
      <c r="T106" s="2"/>
      <c r="U106" s="2"/>
      <c r="V106" s="2" t="str">
        <f t="shared" si="3"/>
        <v/>
      </c>
      <c r="W106" t="str">
        <f>IF($P106="是",COUNTIF($P$2:$P106,"是"),"")</f>
        <v/>
      </c>
    </row>
    <row r="107" spans="1:23" ht="41.65">
      <c r="A107" s="2" t="s">
        <v>118</v>
      </c>
      <c r="B107" s="2" t="s">
        <v>450</v>
      </c>
      <c r="C107" s="2" t="s">
        <v>451</v>
      </c>
      <c r="D107" s="2" t="s">
        <v>539</v>
      </c>
      <c r="E107" s="2" t="s">
        <v>540</v>
      </c>
      <c r="F107" s="2" t="s">
        <v>552</v>
      </c>
      <c r="G107" s="2" t="s">
        <v>553</v>
      </c>
      <c r="H107" s="2" t="s">
        <v>21</v>
      </c>
      <c r="I107" s="2" t="s">
        <v>543</v>
      </c>
      <c r="J107" s="2" t="s">
        <v>554</v>
      </c>
      <c r="K107" s="2" t="s">
        <v>201</v>
      </c>
      <c r="L107" s="2"/>
      <c r="M107" s="2"/>
      <c r="N107" s="2" t="str">
        <f t="shared" si="2"/>
        <v/>
      </c>
      <c r="O107" s="2"/>
      <c r="P107" s="2"/>
      <c r="Q107" s="2"/>
      <c r="R107" s="2"/>
      <c r="S107" s="2" t="s">
        <v>128</v>
      </c>
      <c r="T107" s="2"/>
      <c r="U107" s="2"/>
      <c r="V107" s="2" t="str">
        <f t="shared" si="3"/>
        <v/>
      </c>
      <c r="W107" t="str">
        <f>IF($P107="是",COUNTIF($P$2:$P107,"是"),"")</f>
        <v/>
      </c>
    </row>
    <row r="108" spans="1:23" ht="41.65">
      <c r="A108" s="2" t="s">
        <v>118</v>
      </c>
      <c r="B108" s="2" t="s">
        <v>450</v>
      </c>
      <c r="C108" s="2" t="s">
        <v>451</v>
      </c>
      <c r="D108" s="2" t="s">
        <v>539</v>
      </c>
      <c r="E108" s="2" t="s">
        <v>540</v>
      </c>
      <c r="F108" s="2" t="s">
        <v>555</v>
      </c>
      <c r="G108" s="2" t="s">
        <v>556</v>
      </c>
      <c r="H108" s="2" t="s">
        <v>24</v>
      </c>
      <c r="I108" s="2" t="s">
        <v>543</v>
      </c>
      <c r="J108" s="2" t="s">
        <v>557</v>
      </c>
      <c r="K108" s="2" t="s">
        <v>174</v>
      </c>
      <c r="L108" s="2"/>
      <c r="M108" s="2"/>
      <c r="N108" s="2" t="str">
        <f t="shared" si="2"/>
        <v/>
      </c>
      <c r="O108" s="2"/>
      <c r="P108" s="2"/>
      <c r="Q108" s="2"/>
      <c r="R108" s="2"/>
      <c r="S108" s="2" t="s">
        <v>128</v>
      </c>
      <c r="T108" s="2"/>
      <c r="U108" s="2"/>
      <c r="V108" s="2" t="str">
        <f t="shared" si="3"/>
        <v/>
      </c>
      <c r="W108" t="str">
        <f>IF($P108="是",COUNTIF($P$2:$P108,"是"),"")</f>
        <v/>
      </c>
    </row>
    <row r="109" spans="1:23" ht="41.65">
      <c r="A109" s="2" t="s">
        <v>118</v>
      </c>
      <c r="B109" s="2" t="s">
        <v>450</v>
      </c>
      <c r="C109" s="2" t="s">
        <v>451</v>
      </c>
      <c r="D109" s="2" t="s">
        <v>539</v>
      </c>
      <c r="E109" s="2" t="s">
        <v>540</v>
      </c>
      <c r="F109" s="2" t="s">
        <v>558</v>
      </c>
      <c r="G109" s="2" t="s">
        <v>559</v>
      </c>
      <c r="H109" s="2" t="s">
        <v>24</v>
      </c>
      <c r="I109" s="2" t="s">
        <v>543</v>
      </c>
      <c r="J109" s="2" t="s">
        <v>560</v>
      </c>
      <c r="K109" s="2" t="s">
        <v>174</v>
      </c>
      <c r="L109" s="2"/>
      <c r="M109" s="2"/>
      <c r="N109" s="2" t="str">
        <f t="shared" si="2"/>
        <v/>
      </c>
      <c r="O109" s="2"/>
      <c r="P109" s="2"/>
      <c r="Q109" s="2"/>
      <c r="R109" s="2"/>
      <c r="S109" s="2" t="s">
        <v>128</v>
      </c>
      <c r="T109" s="2"/>
      <c r="U109" s="2"/>
      <c r="V109" s="2" t="str">
        <f t="shared" si="3"/>
        <v/>
      </c>
      <c r="W109" t="str">
        <f>IF($P109="是",COUNTIF($P$2:$P109,"是"),"")</f>
        <v/>
      </c>
    </row>
    <row r="110" spans="1:23" ht="41.65">
      <c r="A110" s="2" t="s">
        <v>118</v>
      </c>
      <c r="B110" s="2" t="s">
        <v>450</v>
      </c>
      <c r="C110" s="2" t="s">
        <v>451</v>
      </c>
      <c r="D110" s="2" t="s">
        <v>539</v>
      </c>
      <c r="E110" s="2" t="s">
        <v>540</v>
      </c>
      <c r="F110" s="2" t="s">
        <v>561</v>
      </c>
      <c r="G110" s="2" t="s">
        <v>562</v>
      </c>
      <c r="H110" s="2" t="s">
        <v>307</v>
      </c>
      <c r="I110" s="2" t="s">
        <v>543</v>
      </c>
      <c r="J110" s="2" t="s">
        <v>563</v>
      </c>
      <c r="K110" s="2" t="s">
        <v>147</v>
      </c>
      <c r="L110" s="2"/>
      <c r="M110" s="2"/>
      <c r="N110" s="2" t="str">
        <f t="shared" si="2"/>
        <v/>
      </c>
      <c r="O110" s="2"/>
      <c r="P110" s="2"/>
      <c r="Q110" s="2"/>
      <c r="R110" s="2"/>
      <c r="S110" s="2" t="s">
        <v>128</v>
      </c>
      <c r="T110" s="2"/>
      <c r="U110" s="2"/>
      <c r="V110" s="2" t="str">
        <f t="shared" si="3"/>
        <v/>
      </c>
      <c r="W110" t="str">
        <f>IF($P110="是",COUNTIF($P$2:$P110,"是"),"")</f>
        <v/>
      </c>
    </row>
    <row r="111" spans="1:23" ht="69.400000000000006">
      <c r="A111" s="2" t="s">
        <v>118</v>
      </c>
      <c r="B111" s="2" t="s">
        <v>450</v>
      </c>
      <c r="C111" s="2" t="s">
        <v>451</v>
      </c>
      <c r="D111" s="2" t="s">
        <v>539</v>
      </c>
      <c r="E111" s="2" t="s">
        <v>540</v>
      </c>
      <c r="F111" s="2" t="s">
        <v>564</v>
      </c>
      <c r="G111" s="2" t="s">
        <v>565</v>
      </c>
      <c r="H111" s="2" t="s">
        <v>566</v>
      </c>
      <c r="I111" s="2" t="s">
        <v>543</v>
      </c>
      <c r="J111" s="2" t="s">
        <v>567</v>
      </c>
      <c r="K111" s="2" t="s">
        <v>184</v>
      </c>
      <c r="L111" s="2"/>
      <c r="M111" s="2"/>
      <c r="N111" s="2" t="str">
        <f t="shared" si="2"/>
        <v/>
      </c>
      <c r="O111" s="2"/>
      <c r="P111" s="2"/>
      <c r="Q111" s="2"/>
      <c r="R111" s="2"/>
      <c r="S111" s="2" t="s">
        <v>128</v>
      </c>
      <c r="T111" s="2"/>
      <c r="U111" s="2" t="s">
        <v>568</v>
      </c>
      <c r="V111" s="2" t="str">
        <f t="shared" si="3"/>
        <v/>
      </c>
      <c r="W111" t="str">
        <f>IF($P111="是",COUNTIF($P$2:$P111,"是"),"")</f>
        <v/>
      </c>
    </row>
    <row r="112" spans="1:23" ht="41.65">
      <c r="A112" s="2" t="s">
        <v>118</v>
      </c>
      <c r="B112" s="2" t="s">
        <v>450</v>
      </c>
      <c r="C112" s="2" t="s">
        <v>451</v>
      </c>
      <c r="D112" s="2" t="s">
        <v>569</v>
      </c>
      <c r="E112" s="2" t="s">
        <v>570</v>
      </c>
      <c r="F112" s="2" t="s">
        <v>571</v>
      </c>
      <c r="G112" s="2" t="s">
        <v>572</v>
      </c>
      <c r="H112" s="2" t="s">
        <v>21</v>
      </c>
      <c r="I112" s="2" t="s">
        <v>456</v>
      </c>
      <c r="J112" s="2" t="s">
        <v>573</v>
      </c>
      <c r="K112" s="2" t="s">
        <v>132</v>
      </c>
      <c r="L112" s="2"/>
      <c r="M112" s="2"/>
      <c r="N112" s="2" t="str">
        <f t="shared" si="2"/>
        <v/>
      </c>
      <c r="O112" s="2"/>
      <c r="P112" s="2"/>
      <c r="Q112" s="2"/>
      <c r="R112" s="2"/>
      <c r="S112" s="2" t="s">
        <v>128</v>
      </c>
      <c r="T112" s="2"/>
      <c r="U112" s="2"/>
      <c r="V112" s="2" t="str">
        <f t="shared" si="3"/>
        <v/>
      </c>
      <c r="W112" t="str">
        <f>IF($P112="是",COUNTIF($P$2:$P112,"是"),"")</f>
        <v/>
      </c>
    </row>
    <row r="113" spans="1:23" ht="41.65">
      <c r="A113" s="2" t="s">
        <v>118</v>
      </c>
      <c r="B113" s="2" t="s">
        <v>450</v>
      </c>
      <c r="C113" s="2" t="s">
        <v>451</v>
      </c>
      <c r="D113" s="2" t="s">
        <v>569</v>
      </c>
      <c r="E113" s="2" t="s">
        <v>570</v>
      </c>
      <c r="F113" s="2" t="s">
        <v>574</v>
      </c>
      <c r="G113" s="2" t="s">
        <v>575</v>
      </c>
      <c r="H113" s="2" t="s">
        <v>21</v>
      </c>
      <c r="I113" s="2" t="s">
        <v>543</v>
      </c>
      <c r="J113" s="2" t="s">
        <v>576</v>
      </c>
      <c r="K113" s="2" t="s">
        <v>201</v>
      </c>
      <c r="L113" s="2"/>
      <c r="M113" s="2"/>
      <c r="N113" s="2" t="str">
        <f t="shared" si="2"/>
        <v/>
      </c>
      <c r="O113" s="2"/>
      <c r="P113" s="2"/>
      <c r="Q113" s="2"/>
      <c r="R113" s="2"/>
      <c r="S113" s="2" t="s">
        <v>128</v>
      </c>
      <c r="T113" s="2"/>
      <c r="U113" s="2" t="s">
        <v>577</v>
      </c>
      <c r="V113" s="2" t="str">
        <f t="shared" si="3"/>
        <v/>
      </c>
      <c r="W113" t="str">
        <f>IF($P113="是",COUNTIF($P$2:$P113,"是"),"")</f>
        <v/>
      </c>
    </row>
    <row r="114" spans="1:23" ht="41.65">
      <c r="A114" s="2" t="s">
        <v>118</v>
      </c>
      <c r="B114" s="2" t="s">
        <v>450</v>
      </c>
      <c r="C114" s="2" t="s">
        <v>451</v>
      </c>
      <c r="D114" s="2" t="s">
        <v>569</v>
      </c>
      <c r="E114" s="2" t="s">
        <v>570</v>
      </c>
      <c r="F114" s="2" t="s">
        <v>578</v>
      </c>
      <c r="G114" s="2" t="s">
        <v>579</v>
      </c>
      <c r="H114" s="2" t="s">
        <v>168</v>
      </c>
      <c r="I114" s="2" t="s">
        <v>543</v>
      </c>
      <c r="J114" s="2" t="s">
        <v>580</v>
      </c>
      <c r="K114" s="2" t="s">
        <v>201</v>
      </c>
      <c r="L114" s="2"/>
      <c r="M114" s="2"/>
      <c r="N114" s="2" t="str">
        <f t="shared" si="2"/>
        <v/>
      </c>
      <c r="O114" s="2"/>
      <c r="P114" s="2"/>
      <c r="Q114" s="2"/>
      <c r="R114" s="2"/>
      <c r="S114" s="2" t="s">
        <v>128</v>
      </c>
      <c r="T114" s="2"/>
      <c r="U114" s="2"/>
      <c r="V114" s="2" t="str">
        <f t="shared" si="3"/>
        <v/>
      </c>
      <c r="W114" t="str">
        <f>IF($P114="是",COUNTIF($P$2:$P114,"是"),"")</f>
        <v/>
      </c>
    </row>
    <row r="115" spans="1:23" ht="41.65">
      <c r="A115" s="2" t="s">
        <v>118</v>
      </c>
      <c r="B115" s="2" t="s">
        <v>450</v>
      </c>
      <c r="C115" s="2" t="s">
        <v>451</v>
      </c>
      <c r="D115" s="2" t="s">
        <v>569</v>
      </c>
      <c r="E115" s="2" t="s">
        <v>570</v>
      </c>
      <c r="F115" s="2" t="s">
        <v>581</v>
      </c>
      <c r="G115" s="2" t="s">
        <v>582</v>
      </c>
      <c r="H115" s="2" t="s">
        <v>24</v>
      </c>
      <c r="I115" s="2" t="s">
        <v>543</v>
      </c>
      <c r="J115" s="2" t="s">
        <v>583</v>
      </c>
      <c r="K115" s="2" t="s">
        <v>201</v>
      </c>
      <c r="L115" s="2"/>
      <c r="M115" s="2"/>
      <c r="N115" s="2" t="str">
        <f t="shared" si="2"/>
        <v/>
      </c>
      <c r="O115" s="2"/>
      <c r="P115" s="2"/>
      <c r="Q115" s="2"/>
      <c r="R115" s="2"/>
      <c r="S115" s="2" t="s">
        <v>128</v>
      </c>
      <c r="T115" s="2"/>
      <c r="U115" s="2" t="s">
        <v>584</v>
      </c>
      <c r="V115" s="2" t="str">
        <f t="shared" si="3"/>
        <v/>
      </c>
      <c r="W115" t="str">
        <f>IF($P115="是",COUNTIF($P$2:$P115,"是"),"")</f>
        <v/>
      </c>
    </row>
    <row r="116" spans="1:23" ht="41.65">
      <c r="A116" s="2" t="s">
        <v>118</v>
      </c>
      <c r="B116" s="2" t="s">
        <v>450</v>
      </c>
      <c r="C116" s="2" t="s">
        <v>451</v>
      </c>
      <c r="D116" s="2" t="s">
        <v>569</v>
      </c>
      <c r="E116" s="2" t="s">
        <v>570</v>
      </c>
      <c r="F116" s="2" t="s">
        <v>585</v>
      </c>
      <c r="G116" s="2" t="s">
        <v>586</v>
      </c>
      <c r="H116" s="2" t="s">
        <v>307</v>
      </c>
      <c r="I116" s="2" t="s">
        <v>543</v>
      </c>
      <c r="J116" s="2" t="s">
        <v>587</v>
      </c>
      <c r="K116" s="2" t="s">
        <v>381</v>
      </c>
      <c r="L116" s="2"/>
      <c r="M116" s="2"/>
      <c r="N116" s="2" t="str">
        <f t="shared" si="2"/>
        <v/>
      </c>
      <c r="O116" s="2"/>
      <c r="P116" s="2"/>
      <c r="Q116" s="2"/>
      <c r="R116" s="2"/>
      <c r="S116" s="2" t="s">
        <v>128</v>
      </c>
      <c r="T116" s="2"/>
      <c r="U116" s="2"/>
      <c r="V116" s="2" t="str">
        <f t="shared" si="3"/>
        <v/>
      </c>
      <c r="W116" t="str">
        <f>IF($P116="是",COUNTIF($P$2:$P116,"是"),"")</f>
        <v/>
      </c>
    </row>
    <row r="117" spans="1:23" ht="41.65">
      <c r="A117" s="2" t="s">
        <v>118</v>
      </c>
      <c r="B117" s="2" t="s">
        <v>450</v>
      </c>
      <c r="C117" s="2" t="s">
        <v>451</v>
      </c>
      <c r="D117" s="2" t="s">
        <v>569</v>
      </c>
      <c r="E117" s="2" t="s">
        <v>570</v>
      </c>
      <c r="F117" s="2" t="s">
        <v>588</v>
      </c>
      <c r="G117" s="2" t="s">
        <v>589</v>
      </c>
      <c r="H117" s="2" t="s">
        <v>307</v>
      </c>
      <c r="I117" s="2" t="s">
        <v>543</v>
      </c>
      <c r="J117" s="2" t="s">
        <v>590</v>
      </c>
      <c r="K117" s="2" t="s">
        <v>201</v>
      </c>
      <c r="L117" s="2"/>
      <c r="M117" s="2"/>
      <c r="N117" s="2" t="str">
        <f t="shared" si="2"/>
        <v/>
      </c>
      <c r="O117" s="2"/>
      <c r="P117" s="2"/>
      <c r="Q117" s="2"/>
      <c r="R117" s="2"/>
      <c r="S117" s="2" t="s">
        <v>128</v>
      </c>
      <c r="T117" s="2"/>
      <c r="U117" s="2"/>
      <c r="V117" s="2" t="str">
        <f t="shared" si="3"/>
        <v/>
      </c>
      <c r="W117" t="str">
        <f>IF($P117="是",COUNTIF($P$2:$P117,"是"),"")</f>
        <v/>
      </c>
    </row>
    <row r="118" spans="1:23" ht="41.65">
      <c r="A118" s="2" t="s">
        <v>118</v>
      </c>
      <c r="B118" s="2" t="s">
        <v>450</v>
      </c>
      <c r="C118" s="2" t="s">
        <v>451</v>
      </c>
      <c r="D118" s="2" t="s">
        <v>591</v>
      </c>
      <c r="E118" s="2" t="s">
        <v>592</v>
      </c>
      <c r="F118" s="2" t="s">
        <v>593</v>
      </c>
      <c r="G118" s="2" t="s">
        <v>594</v>
      </c>
      <c r="H118" s="2" t="s">
        <v>21</v>
      </c>
      <c r="I118" s="2" t="s">
        <v>543</v>
      </c>
      <c r="J118" s="2" t="s">
        <v>595</v>
      </c>
      <c r="K118" s="2" t="s">
        <v>132</v>
      </c>
      <c r="L118" s="2"/>
      <c r="M118" s="2"/>
      <c r="N118" s="2" t="str">
        <f t="shared" si="2"/>
        <v/>
      </c>
      <c r="O118" s="2"/>
      <c r="P118" s="2"/>
      <c r="Q118" s="2"/>
      <c r="R118" s="2"/>
      <c r="S118" s="2" t="s">
        <v>128</v>
      </c>
      <c r="T118" s="2"/>
      <c r="U118" s="2"/>
      <c r="V118" s="2" t="str">
        <f t="shared" si="3"/>
        <v/>
      </c>
      <c r="W118" t="str">
        <f>IF($P118="是",COUNTIF($P$2:$P118,"是"),"")</f>
        <v/>
      </c>
    </row>
    <row r="119" spans="1:23" ht="41.65">
      <c r="A119" s="2" t="s">
        <v>118</v>
      </c>
      <c r="B119" s="2" t="s">
        <v>450</v>
      </c>
      <c r="C119" s="2" t="s">
        <v>451</v>
      </c>
      <c r="D119" s="2" t="s">
        <v>591</v>
      </c>
      <c r="E119" s="2" t="s">
        <v>592</v>
      </c>
      <c r="F119" s="2" t="s">
        <v>596</v>
      </c>
      <c r="G119" s="2" t="s">
        <v>597</v>
      </c>
      <c r="H119" s="2" t="s">
        <v>21</v>
      </c>
      <c r="I119" s="2" t="s">
        <v>543</v>
      </c>
      <c r="J119" s="2" t="s">
        <v>598</v>
      </c>
      <c r="K119" s="2" t="s">
        <v>361</v>
      </c>
      <c r="L119" s="2"/>
      <c r="M119" s="2"/>
      <c r="N119" s="2" t="str">
        <f t="shared" si="2"/>
        <v/>
      </c>
      <c r="O119" s="2"/>
      <c r="P119" s="2"/>
      <c r="Q119" s="2"/>
      <c r="R119" s="2"/>
      <c r="S119" s="2" t="s">
        <v>128</v>
      </c>
      <c r="T119" s="2"/>
      <c r="U119" s="2" t="s">
        <v>599</v>
      </c>
      <c r="V119" s="2" t="str">
        <f t="shared" si="3"/>
        <v/>
      </c>
      <c r="W119" t="str">
        <f>IF($P119="是",COUNTIF($P$2:$P119,"是"),"")</f>
        <v/>
      </c>
    </row>
    <row r="120" spans="1:23" ht="41.65">
      <c r="A120" s="2" t="s">
        <v>118</v>
      </c>
      <c r="B120" s="2" t="s">
        <v>450</v>
      </c>
      <c r="C120" s="2" t="s">
        <v>451</v>
      </c>
      <c r="D120" s="2" t="s">
        <v>591</v>
      </c>
      <c r="E120" s="2" t="s">
        <v>592</v>
      </c>
      <c r="F120" s="2" t="s">
        <v>600</v>
      </c>
      <c r="G120" s="2" t="s">
        <v>601</v>
      </c>
      <c r="H120" s="2" t="s">
        <v>168</v>
      </c>
      <c r="I120" s="2" t="s">
        <v>602</v>
      </c>
      <c r="J120" s="2" t="s">
        <v>603</v>
      </c>
      <c r="K120" s="2" t="s">
        <v>201</v>
      </c>
      <c r="L120" s="2"/>
      <c r="M120" s="2"/>
      <c r="N120" s="2" t="str">
        <f t="shared" si="2"/>
        <v/>
      </c>
      <c r="O120" s="2"/>
      <c r="P120" s="2"/>
      <c r="Q120" s="2"/>
      <c r="R120" s="2"/>
      <c r="S120" s="2" t="s">
        <v>128</v>
      </c>
      <c r="T120" s="2"/>
      <c r="U120" s="2"/>
      <c r="V120" s="2" t="str">
        <f t="shared" si="3"/>
        <v/>
      </c>
      <c r="W120" t="str">
        <f>IF($P120="是",COUNTIF($P$2:$P120,"是"),"")</f>
        <v/>
      </c>
    </row>
    <row r="121" spans="1:23" ht="41.65">
      <c r="A121" s="2" t="s">
        <v>118</v>
      </c>
      <c r="B121" s="2" t="s">
        <v>450</v>
      </c>
      <c r="C121" s="2" t="s">
        <v>451</v>
      </c>
      <c r="D121" s="2" t="s">
        <v>591</v>
      </c>
      <c r="E121" s="2" t="s">
        <v>592</v>
      </c>
      <c r="F121" s="2" t="s">
        <v>604</v>
      </c>
      <c r="G121" s="2" t="s">
        <v>605</v>
      </c>
      <c r="H121" s="2" t="s">
        <v>168</v>
      </c>
      <c r="I121" s="2" t="s">
        <v>602</v>
      </c>
      <c r="J121" s="2" t="s">
        <v>606</v>
      </c>
      <c r="K121" s="2" t="s">
        <v>201</v>
      </c>
      <c r="L121" s="2"/>
      <c r="M121" s="2"/>
      <c r="N121" s="2" t="str">
        <f t="shared" si="2"/>
        <v/>
      </c>
      <c r="O121" s="2"/>
      <c r="P121" s="2"/>
      <c r="Q121" s="2"/>
      <c r="R121" s="2"/>
      <c r="S121" s="2" t="s">
        <v>128</v>
      </c>
      <c r="T121" s="2"/>
      <c r="U121" s="2"/>
      <c r="V121" s="2" t="str">
        <f t="shared" si="3"/>
        <v/>
      </c>
      <c r="W121" t="str">
        <f>IF($P121="是",COUNTIF($P$2:$P121,"是"),"")</f>
        <v/>
      </c>
    </row>
    <row r="122" spans="1:23" ht="41.65">
      <c r="A122" s="2" t="s">
        <v>118</v>
      </c>
      <c r="B122" s="2" t="s">
        <v>450</v>
      </c>
      <c r="C122" s="2" t="s">
        <v>451</v>
      </c>
      <c r="D122" s="2" t="s">
        <v>591</v>
      </c>
      <c r="E122" s="2" t="s">
        <v>592</v>
      </c>
      <c r="F122" s="2" t="s">
        <v>607</v>
      </c>
      <c r="G122" s="2" t="s">
        <v>608</v>
      </c>
      <c r="H122" s="2" t="s">
        <v>307</v>
      </c>
      <c r="I122" s="2" t="s">
        <v>602</v>
      </c>
      <c r="J122" s="2" t="s">
        <v>609</v>
      </c>
      <c r="K122" s="2" t="s">
        <v>147</v>
      </c>
      <c r="L122" s="2"/>
      <c r="M122" s="2"/>
      <c r="N122" s="2" t="str">
        <f t="shared" si="2"/>
        <v/>
      </c>
      <c r="O122" s="2"/>
      <c r="P122" s="2"/>
      <c r="Q122" s="2"/>
      <c r="R122" s="2"/>
      <c r="S122" s="2" t="s">
        <v>128</v>
      </c>
      <c r="T122" s="2"/>
      <c r="U122" s="2" t="s">
        <v>610</v>
      </c>
      <c r="V122" s="2" t="str">
        <f t="shared" si="3"/>
        <v/>
      </c>
      <c r="W122" t="str">
        <f>IF($P122="是",COUNTIF($P$2:$P122,"是"),"")</f>
        <v/>
      </c>
    </row>
    <row r="123" spans="1:23" ht="41.65">
      <c r="A123" s="2" t="s">
        <v>118</v>
      </c>
      <c r="B123" s="2" t="s">
        <v>450</v>
      </c>
      <c r="C123" s="2" t="s">
        <v>451</v>
      </c>
      <c r="D123" s="2" t="s">
        <v>591</v>
      </c>
      <c r="E123" s="2" t="s">
        <v>592</v>
      </c>
      <c r="F123" s="2" t="s">
        <v>611</v>
      </c>
      <c r="G123" s="2" t="s">
        <v>612</v>
      </c>
      <c r="H123" s="2" t="s">
        <v>307</v>
      </c>
      <c r="I123" s="2" t="s">
        <v>602</v>
      </c>
      <c r="J123" s="2" t="s">
        <v>613</v>
      </c>
      <c r="K123" s="2" t="s">
        <v>184</v>
      </c>
      <c r="L123" s="2"/>
      <c r="M123" s="2"/>
      <c r="N123" s="2" t="str">
        <f t="shared" si="2"/>
        <v/>
      </c>
      <c r="O123" s="2"/>
      <c r="P123" s="2"/>
      <c r="Q123" s="2"/>
      <c r="R123" s="2"/>
      <c r="S123" s="2" t="s">
        <v>128</v>
      </c>
      <c r="T123" s="2"/>
      <c r="U123" s="2"/>
      <c r="V123" s="2" t="str">
        <f t="shared" si="3"/>
        <v/>
      </c>
      <c r="W123" t="str">
        <f>IF($P123="是",COUNTIF($P$2:$P123,"是"),"")</f>
        <v/>
      </c>
    </row>
    <row r="124" spans="1:23" ht="41.65">
      <c r="A124" s="2" t="s">
        <v>118</v>
      </c>
      <c r="B124" s="2" t="s">
        <v>450</v>
      </c>
      <c r="C124" s="2" t="s">
        <v>451</v>
      </c>
      <c r="D124" s="2" t="s">
        <v>591</v>
      </c>
      <c r="E124" s="2" t="s">
        <v>592</v>
      </c>
      <c r="F124" s="2" t="s">
        <v>614</v>
      </c>
      <c r="G124" s="2" t="s">
        <v>615</v>
      </c>
      <c r="H124" s="2" t="s">
        <v>181</v>
      </c>
      <c r="I124" s="2" t="s">
        <v>602</v>
      </c>
      <c r="J124" s="2" t="s">
        <v>616</v>
      </c>
      <c r="K124" s="2" t="s">
        <v>158</v>
      </c>
      <c r="L124" s="2"/>
      <c r="M124" s="2"/>
      <c r="N124" s="2" t="str">
        <f t="shared" si="2"/>
        <v/>
      </c>
      <c r="O124" s="2"/>
      <c r="P124" s="2"/>
      <c r="Q124" s="2"/>
      <c r="R124" s="2"/>
      <c r="S124" s="2" t="s">
        <v>128</v>
      </c>
      <c r="T124" s="2"/>
      <c r="U124" s="2"/>
      <c r="V124" s="2" t="str">
        <f t="shared" si="3"/>
        <v/>
      </c>
      <c r="W124" t="str">
        <f>IF($P124="是",COUNTIF($P$2:$P124,"是"),"")</f>
        <v/>
      </c>
    </row>
    <row r="125" spans="1:23" ht="41.65">
      <c r="A125" s="2" t="s">
        <v>118</v>
      </c>
      <c r="B125" s="2" t="s">
        <v>617</v>
      </c>
      <c r="C125" s="2" t="s">
        <v>618</v>
      </c>
      <c r="D125" s="2" t="s">
        <v>619</v>
      </c>
      <c r="E125" s="2" t="s">
        <v>620</v>
      </c>
      <c r="F125" s="2" t="s">
        <v>621</v>
      </c>
      <c r="G125" s="2" t="s">
        <v>622</v>
      </c>
      <c r="H125" s="2" t="s">
        <v>21</v>
      </c>
      <c r="I125" s="2" t="s">
        <v>623</v>
      </c>
      <c r="J125" s="2" t="s">
        <v>624</v>
      </c>
      <c r="K125" s="2" t="s">
        <v>625</v>
      </c>
      <c r="L125" s="2"/>
      <c r="M125" s="2"/>
      <c r="N125" s="2" t="str">
        <f t="shared" si="2"/>
        <v/>
      </c>
      <c r="O125" s="2"/>
      <c r="P125" s="2"/>
      <c r="Q125" s="2"/>
      <c r="R125" s="2"/>
      <c r="S125" s="2" t="s">
        <v>128</v>
      </c>
      <c r="T125" s="2"/>
      <c r="U125" s="2"/>
      <c r="V125" s="2" t="str">
        <f t="shared" si="3"/>
        <v/>
      </c>
      <c r="W125" t="str">
        <f>IF($P125="是",COUNTIF($P$2:$P125,"是"),"")</f>
        <v/>
      </c>
    </row>
    <row r="126" spans="1:23" ht="41.65">
      <c r="A126" s="2" t="s">
        <v>118</v>
      </c>
      <c r="B126" s="2" t="s">
        <v>617</v>
      </c>
      <c r="C126" s="2" t="s">
        <v>618</v>
      </c>
      <c r="D126" s="2" t="s">
        <v>619</v>
      </c>
      <c r="E126" s="2" t="s">
        <v>620</v>
      </c>
      <c r="F126" s="2" t="s">
        <v>626</v>
      </c>
      <c r="G126" s="2" t="s">
        <v>627</v>
      </c>
      <c r="H126" s="2" t="s">
        <v>21</v>
      </c>
      <c r="I126" s="2" t="s">
        <v>628</v>
      </c>
      <c r="J126" s="2" t="s">
        <v>629</v>
      </c>
      <c r="K126" s="2" t="s">
        <v>630</v>
      </c>
      <c r="L126" s="2"/>
      <c r="M126" s="2"/>
      <c r="N126" s="2" t="str">
        <f t="shared" si="2"/>
        <v/>
      </c>
      <c r="O126" s="2"/>
      <c r="P126" s="2"/>
      <c r="Q126" s="2"/>
      <c r="R126" s="2"/>
      <c r="S126" s="2" t="s">
        <v>128</v>
      </c>
      <c r="T126" s="2"/>
      <c r="U126" s="2"/>
      <c r="V126" s="2" t="str">
        <f t="shared" si="3"/>
        <v/>
      </c>
      <c r="W126" t="str">
        <f>IF($P126="是",COUNTIF($P$2:$P126,"是"),"")</f>
        <v/>
      </c>
    </row>
    <row r="127" spans="1:23" ht="41.65">
      <c r="A127" s="2" t="s">
        <v>118</v>
      </c>
      <c r="B127" s="2" t="s">
        <v>617</v>
      </c>
      <c r="C127" s="2" t="s">
        <v>618</v>
      </c>
      <c r="D127" s="2" t="s">
        <v>619</v>
      </c>
      <c r="E127" s="2" t="s">
        <v>620</v>
      </c>
      <c r="F127" s="2" t="s">
        <v>631</v>
      </c>
      <c r="G127" s="2" t="s">
        <v>632</v>
      </c>
      <c r="H127" s="2" t="s">
        <v>21</v>
      </c>
      <c r="I127" s="2" t="s">
        <v>633</v>
      </c>
      <c r="J127" s="2" t="s">
        <v>634</v>
      </c>
      <c r="K127" s="2" t="s">
        <v>630</v>
      </c>
      <c r="L127" s="2"/>
      <c r="M127" s="2"/>
      <c r="N127" s="2" t="str">
        <f t="shared" si="2"/>
        <v/>
      </c>
      <c r="O127" s="2"/>
      <c r="P127" s="2"/>
      <c r="Q127" s="2"/>
      <c r="R127" s="2"/>
      <c r="S127" s="2" t="s">
        <v>128</v>
      </c>
      <c r="T127" s="2"/>
      <c r="U127" s="2"/>
      <c r="V127" s="2" t="str">
        <f t="shared" si="3"/>
        <v/>
      </c>
      <c r="W127" t="str">
        <f>IF($P127="是",COUNTIF($P$2:$P127,"是"),"")</f>
        <v/>
      </c>
    </row>
    <row r="128" spans="1:23" ht="27.75">
      <c r="A128" s="2" t="s">
        <v>118</v>
      </c>
      <c r="B128" s="2" t="s">
        <v>617</v>
      </c>
      <c r="C128" s="2" t="s">
        <v>618</v>
      </c>
      <c r="D128" s="2" t="s">
        <v>619</v>
      </c>
      <c r="E128" s="2" t="s">
        <v>620</v>
      </c>
      <c r="F128" s="2" t="s">
        <v>635</v>
      </c>
      <c r="G128" s="2" t="s">
        <v>636</v>
      </c>
      <c r="H128" s="2" t="s">
        <v>168</v>
      </c>
      <c r="I128" s="2" t="s">
        <v>637</v>
      </c>
      <c r="J128" s="2" t="s">
        <v>638</v>
      </c>
      <c r="K128" s="2" t="s">
        <v>639</v>
      </c>
      <c r="L128" s="2"/>
      <c r="M128" s="2"/>
      <c r="N128" s="2" t="str">
        <f t="shared" si="2"/>
        <v/>
      </c>
      <c r="O128" s="2"/>
      <c r="P128" s="2"/>
      <c r="Q128" s="2"/>
      <c r="R128" s="2"/>
      <c r="S128" s="2" t="s">
        <v>128</v>
      </c>
      <c r="T128" s="2"/>
      <c r="U128" s="2"/>
      <c r="V128" s="2" t="str">
        <f t="shared" si="3"/>
        <v/>
      </c>
      <c r="W128" t="str">
        <f>IF($P128="是",COUNTIF($P$2:$P128,"是"),"")</f>
        <v/>
      </c>
    </row>
    <row r="129" spans="1:23" ht="41.65">
      <c r="A129" s="2" t="s">
        <v>118</v>
      </c>
      <c r="B129" s="2" t="s">
        <v>617</v>
      </c>
      <c r="C129" s="2" t="s">
        <v>618</v>
      </c>
      <c r="D129" s="2" t="s">
        <v>619</v>
      </c>
      <c r="E129" s="2" t="s">
        <v>620</v>
      </c>
      <c r="F129" s="2" t="s">
        <v>640</v>
      </c>
      <c r="G129" s="2" t="s">
        <v>641</v>
      </c>
      <c r="H129" s="2" t="s">
        <v>21</v>
      </c>
      <c r="I129" s="2" t="s">
        <v>642</v>
      </c>
      <c r="J129" s="2" t="s">
        <v>643</v>
      </c>
      <c r="K129" s="2" t="s">
        <v>644</v>
      </c>
      <c r="L129" s="2"/>
      <c r="M129" s="2"/>
      <c r="N129" s="2" t="str">
        <f t="shared" si="2"/>
        <v/>
      </c>
      <c r="O129" s="2"/>
      <c r="P129" s="2"/>
      <c r="Q129" s="2"/>
      <c r="R129" s="2"/>
      <c r="S129" s="2" t="s">
        <v>128</v>
      </c>
      <c r="T129" s="2"/>
      <c r="U129" s="2"/>
      <c r="V129" s="2" t="str">
        <f t="shared" si="3"/>
        <v/>
      </c>
      <c r="W129" t="str">
        <f>IF($P129="是",COUNTIF($P$2:$P129,"是"),"")</f>
        <v/>
      </c>
    </row>
    <row r="130" spans="1:23" ht="27.75">
      <c r="A130" s="2" t="s">
        <v>118</v>
      </c>
      <c r="B130" s="2" t="s">
        <v>617</v>
      </c>
      <c r="C130" s="2" t="s">
        <v>618</v>
      </c>
      <c r="D130" s="2" t="s">
        <v>619</v>
      </c>
      <c r="E130" s="2" t="s">
        <v>620</v>
      </c>
      <c r="F130" s="2" t="s">
        <v>645</v>
      </c>
      <c r="G130" s="2" t="s">
        <v>646</v>
      </c>
      <c r="H130" s="2" t="s">
        <v>168</v>
      </c>
      <c r="I130" s="2" t="s">
        <v>647</v>
      </c>
      <c r="J130" s="2" t="s">
        <v>648</v>
      </c>
      <c r="K130" s="2" t="s">
        <v>644</v>
      </c>
      <c r="L130" s="2"/>
      <c r="M130" s="2"/>
      <c r="N130" s="2" t="str">
        <f t="shared" ref="N130:N193" si="4">IF(OR(L130="",M130=""),"",MAX(0,M130-L130))</f>
        <v/>
      </c>
      <c r="O130" s="2"/>
      <c r="P130" s="2"/>
      <c r="Q130" s="2"/>
      <c r="R130" s="2"/>
      <c r="S130" s="2" t="s">
        <v>128</v>
      </c>
      <c r="T130" s="2"/>
      <c r="U130" s="2"/>
      <c r="V130" s="2" t="str">
        <f t="shared" ref="V130:V193" si="5">IF(N130="","",IF(N130&gt;=3,"年度重点专项",IF(N130=2,"季度重点补齐",IF(N130=1,"月度常规提升","保持观察/可做分享"))))</f>
        <v/>
      </c>
      <c r="W130" t="str">
        <f>IF($P130="是",COUNTIF($P$2:$P130,"是"),"")</f>
        <v/>
      </c>
    </row>
    <row r="131" spans="1:23" ht="41.65">
      <c r="A131" s="2" t="s">
        <v>118</v>
      </c>
      <c r="B131" s="2" t="s">
        <v>617</v>
      </c>
      <c r="C131" s="2" t="s">
        <v>618</v>
      </c>
      <c r="D131" s="2" t="s">
        <v>649</v>
      </c>
      <c r="E131" s="2" t="s">
        <v>650</v>
      </c>
      <c r="F131" s="2" t="s">
        <v>651</v>
      </c>
      <c r="G131" s="2" t="s">
        <v>652</v>
      </c>
      <c r="H131" s="2" t="s">
        <v>21</v>
      </c>
      <c r="I131" s="2" t="s">
        <v>653</v>
      </c>
      <c r="J131" s="2" t="s">
        <v>654</v>
      </c>
      <c r="K131" s="2" t="s">
        <v>655</v>
      </c>
      <c r="L131" s="2"/>
      <c r="M131" s="2"/>
      <c r="N131" s="2" t="str">
        <f t="shared" si="4"/>
        <v/>
      </c>
      <c r="O131" s="2"/>
      <c r="P131" s="2"/>
      <c r="Q131" s="2"/>
      <c r="R131" s="2"/>
      <c r="S131" s="2" t="s">
        <v>128</v>
      </c>
      <c r="T131" s="2"/>
      <c r="U131" s="2"/>
      <c r="V131" s="2" t="str">
        <f t="shared" si="5"/>
        <v/>
      </c>
      <c r="W131" t="str">
        <f>IF($P131="是",COUNTIF($P$2:$P131,"是"),"")</f>
        <v/>
      </c>
    </row>
    <row r="132" spans="1:23" ht="27.75">
      <c r="A132" s="2" t="s">
        <v>118</v>
      </c>
      <c r="B132" s="2" t="s">
        <v>617</v>
      </c>
      <c r="C132" s="2" t="s">
        <v>618</v>
      </c>
      <c r="D132" s="2" t="s">
        <v>649</v>
      </c>
      <c r="E132" s="2" t="s">
        <v>650</v>
      </c>
      <c r="F132" s="2" t="s">
        <v>656</v>
      </c>
      <c r="G132" s="2" t="s">
        <v>657</v>
      </c>
      <c r="H132" s="2" t="s">
        <v>168</v>
      </c>
      <c r="I132" s="2" t="s">
        <v>658</v>
      </c>
      <c r="J132" s="2" t="s">
        <v>659</v>
      </c>
      <c r="K132" s="2" t="s">
        <v>660</v>
      </c>
      <c r="L132" s="2"/>
      <c r="M132" s="2"/>
      <c r="N132" s="2" t="str">
        <f t="shared" si="4"/>
        <v/>
      </c>
      <c r="O132" s="2"/>
      <c r="P132" s="2"/>
      <c r="Q132" s="2"/>
      <c r="R132" s="2"/>
      <c r="S132" s="2" t="s">
        <v>128</v>
      </c>
      <c r="T132" s="2"/>
      <c r="U132" s="2"/>
      <c r="V132" s="2" t="str">
        <f t="shared" si="5"/>
        <v/>
      </c>
      <c r="W132" t="str">
        <f>IF($P132="是",COUNTIF($P$2:$P132,"是"),"")</f>
        <v/>
      </c>
    </row>
    <row r="133" spans="1:23" ht="27.75">
      <c r="A133" s="2" t="s">
        <v>118</v>
      </c>
      <c r="B133" s="2" t="s">
        <v>617</v>
      </c>
      <c r="C133" s="2" t="s">
        <v>618</v>
      </c>
      <c r="D133" s="2" t="s">
        <v>649</v>
      </c>
      <c r="E133" s="2" t="s">
        <v>650</v>
      </c>
      <c r="F133" s="2" t="s">
        <v>661</v>
      </c>
      <c r="G133" s="2" t="s">
        <v>662</v>
      </c>
      <c r="H133" s="2" t="s">
        <v>21</v>
      </c>
      <c r="I133" s="2" t="s">
        <v>663</v>
      </c>
      <c r="J133" s="2" t="s">
        <v>664</v>
      </c>
      <c r="K133" s="2" t="s">
        <v>639</v>
      </c>
      <c r="L133" s="2"/>
      <c r="M133" s="2"/>
      <c r="N133" s="2" t="str">
        <f t="shared" si="4"/>
        <v/>
      </c>
      <c r="O133" s="2"/>
      <c r="P133" s="2"/>
      <c r="Q133" s="2"/>
      <c r="R133" s="2"/>
      <c r="S133" s="2" t="s">
        <v>128</v>
      </c>
      <c r="T133" s="2"/>
      <c r="U133" s="2"/>
      <c r="V133" s="2" t="str">
        <f t="shared" si="5"/>
        <v/>
      </c>
      <c r="W133" t="str">
        <f>IF($P133="是",COUNTIF($P$2:$P133,"是"),"")</f>
        <v/>
      </c>
    </row>
    <row r="134" spans="1:23" ht="27.75">
      <c r="A134" s="2" t="s">
        <v>118</v>
      </c>
      <c r="B134" s="2" t="s">
        <v>617</v>
      </c>
      <c r="C134" s="2" t="s">
        <v>618</v>
      </c>
      <c r="D134" s="2" t="s">
        <v>649</v>
      </c>
      <c r="E134" s="2" t="s">
        <v>650</v>
      </c>
      <c r="F134" s="2" t="s">
        <v>665</v>
      </c>
      <c r="G134" s="2" t="s">
        <v>666</v>
      </c>
      <c r="H134" s="2" t="s">
        <v>24</v>
      </c>
      <c r="I134" s="2" t="s">
        <v>667</v>
      </c>
      <c r="J134" s="2" t="s">
        <v>668</v>
      </c>
      <c r="K134" s="2" t="s">
        <v>660</v>
      </c>
      <c r="L134" s="2"/>
      <c r="M134" s="2"/>
      <c r="N134" s="2" t="str">
        <f t="shared" si="4"/>
        <v/>
      </c>
      <c r="O134" s="2"/>
      <c r="P134" s="2"/>
      <c r="Q134" s="2"/>
      <c r="R134" s="2"/>
      <c r="S134" s="2" t="s">
        <v>128</v>
      </c>
      <c r="T134" s="2"/>
      <c r="U134" s="2"/>
      <c r="V134" s="2" t="str">
        <f t="shared" si="5"/>
        <v/>
      </c>
      <c r="W134" t="str">
        <f>IF($P134="是",COUNTIF($P$2:$P134,"是"),"")</f>
        <v/>
      </c>
    </row>
    <row r="135" spans="1:23" ht="41.65">
      <c r="A135" s="2" t="s">
        <v>118</v>
      </c>
      <c r="B135" s="2" t="s">
        <v>617</v>
      </c>
      <c r="C135" s="2" t="s">
        <v>618</v>
      </c>
      <c r="D135" s="2" t="s">
        <v>649</v>
      </c>
      <c r="E135" s="2" t="s">
        <v>650</v>
      </c>
      <c r="F135" s="2" t="s">
        <v>669</v>
      </c>
      <c r="G135" s="2" t="s">
        <v>670</v>
      </c>
      <c r="H135" s="2" t="s">
        <v>307</v>
      </c>
      <c r="I135" s="2" t="s">
        <v>671</v>
      </c>
      <c r="J135" s="2" t="s">
        <v>672</v>
      </c>
      <c r="K135" s="2" t="s">
        <v>673</v>
      </c>
      <c r="L135" s="2"/>
      <c r="M135" s="2"/>
      <c r="N135" s="2" t="str">
        <f t="shared" si="4"/>
        <v/>
      </c>
      <c r="O135" s="2"/>
      <c r="P135" s="2"/>
      <c r="Q135" s="2"/>
      <c r="R135" s="2"/>
      <c r="S135" s="2" t="s">
        <v>128</v>
      </c>
      <c r="T135" s="2"/>
      <c r="U135" s="2"/>
      <c r="V135" s="2" t="str">
        <f t="shared" si="5"/>
        <v/>
      </c>
      <c r="W135" t="str">
        <f>IF($P135="是",COUNTIF($P$2:$P135,"是"),"")</f>
        <v/>
      </c>
    </row>
    <row r="136" spans="1:23" ht="27.75">
      <c r="A136" s="2" t="s">
        <v>118</v>
      </c>
      <c r="B136" s="2" t="s">
        <v>617</v>
      </c>
      <c r="C136" s="2" t="s">
        <v>618</v>
      </c>
      <c r="D136" s="2" t="s">
        <v>649</v>
      </c>
      <c r="E136" s="2" t="s">
        <v>650</v>
      </c>
      <c r="F136" s="2" t="s">
        <v>674</v>
      </c>
      <c r="G136" s="2" t="s">
        <v>675</v>
      </c>
      <c r="H136" s="2" t="s">
        <v>24</v>
      </c>
      <c r="I136" s="2" t="s">
        <v>676</v>
      </c>
      <c r="J136" s="2" t="s">
        <v>677</v>
      </c>
      <c r="K136" s="2" t="s">
        <v>639</v>
      </c>
      <c r="L136" s="2"/>
      <c r="M136" s="2"/>
      <c r="N136" s="2" t="str">
        <f t="shared" si="4"/>
        <v/>
      </c>
      <c r="O136" s="2"/>
      <c r="P136" s="2"/>
      <c r="Q136" s="2"/>
      <c r="R136" s="2"/>
      <c r="S136" s="2" t="s">
        <v>128</v>
      </c>
      <c r="T136" s="2"/>
      <c r="U136" s="2"/>
      <c r="V136" s="2" t="str">
        <f t="shared" si="5"/>
        <v/>
      </c>
      <c r="W136" t="str">
        <f>IF($P136="是",COUNTIF($P$2:$P136,"是"),"")</f>
        <v/>
      </c>
    </row>
    <row r="137" spans="1:23" ht="41.65">
      <c r="A137" s="2" t="s">
        <v>118</v>
      </c>
      <c r="B137" s="2" t="s">
        <v>617</v>
      </c>
      <c r="C137" s="2" t="s">
        <v>618</v>
      </c>
      <c r="D137" s="2" t="s">
        <v>649</v>
      </c>
      <c r="E137" s="2" t="s">
        <v>650</v>
      </c>
      <c r="F137" s="2" t="s">
        <v>678</v>
      </c>
      <c r="G137" s="2" t="s">
        <v>679</v>
      </c>
      <c r="H137" s="2" t="s">
        <v>307</v>
      </c>
      <c r="I137" s="2" t="s">
        <v>680</v>
      </c>
      <c r="J137" s="2" t="s">
        <v>681</v>
      </c>
      <c r="K137" s="2" t="s">
        <v>673</v>
      </c>
      <c r="L137" s="2"/>
      <c r="M137" s="2"/>
      <c r="N137" s="2" t="str">
        <f t="shared" si="4"/>
        <v/>
      </c>
      <c r="O137" s="2"/>
      <c r="P137" s="2"/>
      <c r="Q137" s="2"/>
      <c r="R137" s="2"/>
      <c r="S137" s="2" t="s">
        <v>128</v>
      </c>
      <c r="T137" s="2"/>
      <c r="U137" s="2"/>
      <c r="V137" s="2" t="str">
        <f t="shared" si="5"/>
        <v/>
      </c>
      <c r="W137" t="str">
        <f>IF($P137="是",COUNTIF($P$2:$P137,"是"),"")</f>
        <v/>
      </c>
    </row>
    <row r="138" spans="1:23" ht="27.75">
      <c r="A138" s="2" t="s">
        <v>118</v>
      </c>
      <c r="B138" s="2" t="s">
        <v>617</v>
      </c>
      <c r="C138" s="2" t="s">
        <v>618</v>
      </c>
      <c r="D138" s="2" t="s">
        <v>682</v>
      </c>
      <c r="E138" s="2" t="s">
        <v>683</v>
      </c>
      <c r="F138" s="2" t="s">
        <v>684</v>
      </c>
      <c r="G138" s="2" t="s">
        <v>685</v>
      </c>
      <c r="H138" s="2" t="s">
        <v>21</v>
      </c>
      <c r="I138" s="2" t="s">
        <v>637</v>
      </c>
      <c r="J138" s="2" t="s">
        <v>686</v>
      </c>
      <c r="K138" s="2" t="s">
        <v>644</v>
      </c>
      <c r="L138" s="2"/>
      <c r="M138" s="2"/>
      <c r="N138" s="2" t="str">
        <f t="shared" si="4"/>
        <v/>
      </c>
      <c r="O138" s="2"/>
      <c r="P138" s="2"/>
      <c r="Q138" s="2"/>
      <c r="R138" s="2"/>
      <c r="S138" s="2" t="s">
        <v>128</v>
      </c>
      <c r="T138" s="2"/>
      <c r="U138" s="2"/>
      <c r="V138" s="2" t="str">
        <f t="shared" si="5"/>
        <v/>
      </c>
      <c r="W138" t="str">
        <f>IF($P138="是",COUNTIF($P$2:$P138,"是"),"")</f>
        <v/>
      </c>
    </row>
    <row r="139" spans="1:23" ht="27.75">
      <c r="A139" s="2" t="s">
        <v>118</v>
      </c>
      <c r="B139" s="2" t="s">
        <v>617</v>
      </c>
      <c r="C139" s="2" t="s">
        <v>618</v>
      </c>
      <c r="D139" s="2" t="s">
        <v>682</v>
      </c>
      <c r="E139" s="2" t="s">
        <v>683</v>
      </c>
      <c r="F139" s="2" t="s">
        <v>687</v>
      </c>
      <c r="G139" s="2" t="s">
        <v>688</v>
      </c>
      <c r="H139" s="2" t="s">
        <v>21</v>
      </c>
      <c r="I139" s="2" t="s">
        <v>689</v>
      </c>
      <c r="J139" s="2" t="s">
        <v>690</v>
      </c>
      <c r="K139" s="2" t="s">
        <v>639</v>
      </c>
      <c r="L139" s="2"/>
      <c r="M139" s="2"/>
      <c r="N139" s="2" t="str">
        <f t="shared" si="4"/>
        <v/>
      </c>
      <c r="O139" s="2"/>
      <c r="P139" s="2"/>
      <c r="Q139" s="2"/>
      <c r="R139" s="2"/>
      <c r="S139" s="2" t="s">
        <v>128</v>
      </c>
      <c r="T139" s="2"/>
      <c r="U139" s="2"/>
      <c r="V139" s="2" t="str">
        <f t="shared" si="5"/>
        <v/>
      </c>
      <c r="W139" t="str">
        <f>IF($P139="是",COUNTIF($P$2:$P139,"是"),"")</f>
        <v/>
      </c>
    </row>
    <row r="140" spans="1:23" ht="27.75">
      <c r="A140" s="2" t="s">
        <v>118</v>
      </c>
      <c r="B140" s="2" t="s">
        <v>617</v>
      </c>
      <c r="C140" s="2" t="s">
        <v>618</v>
      </c>
      <c r="D140" s="2" t="s">
        <v>682</v>
      </c>
      <c r="E140" s="2" t="s">
        <v>683</v>
      </c>
      <c r="F140" s="2" t="s">
        <v>691</v>
      </c>
      <c r="G140" s="2" t="s">
        <v>692</v>
      </c>
      <c r="H140" s="2" t="s">
        <v>168</v>
      </c>
      <c r="I140" s="2" t="s">
        <v>693</v>
      </c>
      <c r="J140" s="2" t="s">
        <v>694</v>
      </c>
      <c r="K140" s="2" t="s">
        <v>639</v>
      </c>
      <c r="L140" s="2"/>
      <c r="M140" s="2"/>
      <c r="N140" s="2" t="str">
        <f t="shared" si="4"/>
        <v/>
      </c>
      <c r="O140" s="2"/>
      <c r="P140" s="2"/>
      <c r="Q140" s="2"/>
      <c r="R140" s="2"/>
      <c r="S140" s="2" t="s">
        <v>128</v>
      </c>
      <c r="T140" s="2"/>
      <c r="U140" s="2"/>
      <c r="V140" s="2" t="str">
        <f t="shared" si="5"/>
        <v/>
      </c>
      <c r="W140" t="str">
        <f>IF($P140="是",COUNTIF($P$2:$P140,"是"),"")</f>
        <v/>
      </c>
    </row>
    <row r="141" spans="1:23" ht="27.75">
      <c r="A141" s="2" t="s">
        <v>118</v>
      </c>
      <c r="B141" s="2" t="s">
        <v>617</v>
      </c>
      <c r="C141" s="2" t="s">
        <v>618</v>
      </c>
      <c r="D141" s="2" t="s">
        <v>682</v>
      </c>
      <c r="E141" s="2" t="s">
        <v>683</v>
      </c>
      <c r="F141" s="2" t="s">
        <v>695</v>
      </c>
      <c r="G141" s="2" t="s">
        <v>696</v>
      </c>
      <c r="H141" s="2" t="s">
        <v>21</v>
      </c>
      <c r="I141" s="2" t="s">
        <v>637</v>
      </c>
      <c r="J141" s="2" t="s">
        <v>697</v>
      </c>
      <c r="K141" s="2" t="s">
        <v>639</v>
      </c>
      <c r="L141" s="2"/>
      <c r="M141" s="2"/>
      <c r="N141" s="2" t="str">
        <f t="shared" si="4"/>
        <v/>
      </c>
      <c r="O141" s="2"/>
      <c r="P141" s="2"/>
      <c r="Q141" s="2"/>
      <c r="R141" s="2"/>
      <c r="S141" s="2" t="s">
        <v>128</v>
      </c>
      <c r="T141" s="2"/>
      <c r="U141" s="2"/>
      <c r="V141" s="2" t="str">
        <f t="shared" si="5"/>
        <v/>
      </c>
      <c r="W141" t="str">
        <f>IF($P141="是",COUNTIF($P$2:$P141,"是"),"")</f>
        <v/>
      </c>
    </row>
    <row r="142" spans="1:23" ht="27.75">
      <c r="A142" s="2" t="s">
        <v>118</v>
      </c>
      <c r="B142" s="2" t="s">
        <v>617</v>
      </c>
      <c r="C142" s="2" t="s">
        <v>618</v>
      </c>
      <c r="D142" s="2" t="s">
        <v>682</v>
      </c>
      <c r="E142" s="2" t="s">
        <v>683</v>
      </c>
      <c r="F142" s="2" t="s">
        <v>698</v>
      </c>
      <c r="G142" s="2" t="s">
        <v>699</v>
      </c>
      <c r="H142" s="2" t="s">
        <v>24</v>
      </c>
      <c r="I142" s="2" t="s">
        <v>700</v>
      </c>
      <c r="J142" s="2" t="s">
        <v>701</v>
      </c>
      <c r="K142" s="2" t="s">
        <v>655</v>
      </c>
      <c r="L142" s="2"/>
      <c r="M142" s="2"/>
      <c r="N142" s="2" t="str">
        <f t="shared" si="4"/>
        <v/>
      </c>
      <c r="O142" s="2"/>
      <c r="P142" s="2"/>
      <c r="Q142" s="2"/>
      <c r="R142" s="2"/>
      <c r="S142" s="2" t="s">
        <v>128</v>
      </c>
      <c r="T142" s="2"/>
      <c r="U142" s="2"/>
      <c r="V142" s="2" t="str">
        <f t="shared" si="5"/>
        <v/>
      </c>
      <c r="W142" t="str">
        <f>IF($P142="是",COUNTIF($P$2:$P142,"是"),"")</f>
        <v/>
      </c>
    </row>
    <row r="143" spans="1:23" ht="41.65">
      <c r="A143" s="2" t="s">
        <v>118</v>
      </c>
      <c r="B143" s="2" t="s">
        <v>617</v>
      </c>
      <c r="C143" s="2" t="s">
        <v>618</v>
      </c>
      <c r="D143" s="2" t="s">
        <v>682</v>
      </c>
      <c r="E143" s="2" t="s">
        <v>683</v>
      </c>
      <c r="F143" s="2" t="s">
        <v>702</v>
      </c>
      <c r="G143" s="2" t="s">
        <v>703</v>
      </c>
      <c r="H143" s="2" t="s">
        <v>24</v>
      </c>
      <c r="I143" s="2" t="s">
        <v>704</v>
      </c>
      <c r="J143" s="2" t="s">
        <v>705</v>
      </c>
      <c r="K143" s="2" t="s">
        <v>660</v>
      </c>
      <c r="L143" s="2"/>
      <c r="M143" s="2"/>
      <c r="N143" s="2" t="str">
        <f t="shared" si="4"/>
        <v/>
      </c>
      <c r="O143" s="2"/>
      <c r="P143" s="2"/>
      <c r="Q143" s="2"/>
      <c r="R143" s="2"/>
      <c r="S143" s="2" t="s">
        <v>128</v>
      </c>
      <c r="T143" s="2"/>
      <c r="U143" s="2"/>
      <c r="V143" s="2" t="str">
        <f t="shared" si="5"/>
        <v/>
      </c>
      <c r="W143" t="str">
        <f>IF($P143="是",COUNTIF($P$2:$P143,"是"),"")</f>
        <v/>
      </c>
    </row>
    <row r="144" spans="1:23" ht="27.75">
      <c r="A144" s="2" t="s">
        <v>118</v>
      </c>
      <c r="B144" s="2" t="s">
        <v>617</v>
      </c>
      <c r="C144" s="2" t="s">
        <v>618</v>
      </c>
      <c r="D144" s="2" t="s">
        <v>682</v>
      </c>
      <c r="E144" s="2" t="s">
        <v>683</v>
      </c>
      <c r="F144" s="2" t="s">
        <v>706</v>
      </c>
      <c r="G144" s="2" t="s">
        <v>707</v>
      </c>
      <c r="H144" s="2" t="s">
        <v>24</v>
      </c>
      <c r="I144" s="2" t="s">
        <v>689</v>
      </c>
      <c r="J144" s="2" t="s">
        <v>708</v>
      </c>
      <c r="K144" s="2" t="s">
        <v>655</v>
      </c>
      <c r="L144" s="2"/>
      <c r="M144" s="2"/>
      <c r="N144" s="2" t="str">
        <f t="shared" si="4"/>
        <v/>
      </c>
      <c r="O144" s="2"/>
      <c r="P144" s="2"/>
      <c r="Q144" s="2"/>
      <c r="R144" s="2"/>
      <c r="S144" s="2" t="s">
        <v>128</v>
      </c>
      <c r="T144" s="2"/>
      <c r="U144" s="2"/>
      <c r="V144" s="2" t="str">
        <f t="shared" si="5"/>
        <v/>
      </c>
      <c r="W144" t="str">
        <f>IF($P144="是",COUNTIF($P$2:$P144,"是"),"")</f>
        <v/>
      </c>
    </row>
    <row r="145" spans="1:23" ht="27.75">
      <c r="A145" s="2" t="s">
        <v>118</v>
      </c>
      <c r="B145" s="2" t="s">
        <v>617</v>
      </c>
      <c r="C145" s="2" t="s">
        <v>618</v>
      </c>
      <c r="D145" s="2" t="s">
        <v>682</v>
      </c>
      <c r="E145" s="2" t="s">
        <v>683</v>
      </c>
      <c r="F145" s="2" t="s">
        <v>709</v>
      </c>
      <c r="G145" s="2" t="s">
        <v>710</v>
      </c>
      <c r="H145" s="2" t="s">
        <v>307</v>
      </c>
      <c r="I145" s="2" t="s">
        <v>700</v>
      </c>
      <c r="J145" s="2" t="s">
        <v>711</v>
      </c>
      <c r="K145" s="2" t="s">
        <v>673</v>
      </c>
      <c r="L145" s="2"/>
      <c r="M145" s="2"/>
      <c r="N145" s="2" t="str">
        <f t="shared" si="4"/>
        <v/>
      </c>
      <c r="O145" s="2"/>
      <c r="P145" s="2"/>
      <c r="Q145" s="2"/>
      <c r="R145" s="2"/>
      <c r="S145" s="2" t="s">
        <v>128</v>
      </c>
      <c r="T145" s="2"/>
      <c r="U145" s="2"/>
      <c r="V145" s="2" t="str">
        <f t="shared" si="5"/>
        <v/>
      </c>
      <c r="W145" t="str">
        <f>IF($P145="是",COUNTIF($P$2:$P145,"是"),"")</f>
        <v/>
      </c>
    </row>
    <row r="146" spans="1:23" ht="27.75">
      <c r="A146" s="2" t="s">
        <v>118</v>
      </c>
      <c r="B146" s="2" t="s">
        <v>617</v>
      </c>
      <c r="C146" s="2" t="s">
        <v>618</v>
      </c>
      <c r="D146" s="2" t="s">
        <v>682</v>
      </c>
      <c r="E146" s="2" t="s">
        <v>683</v>
      </c>
      <c r="F146" s="2" t="s">
        <v>712</v>
      </c>
      <c r="G146" s="2" t="s">
        <v>713</v>
      </c>
      <c r="H146" s="2" t="s">
        <v>27</v>
      </c>
      <c r="I146" s="2" t="s">
        <v>714</v>
      </c>
      <c r="J146" s="2" t="s">
        <v>715</v>
      </c>
      <c r="K146" s="2" t="s">
        <v>660</v>
      </c>
      <c r="L146" s="2"/>
      <c r="M146" s="2"/>
      <c r="N146" s="2" t="str">
        <f t="shared" si="4"/>
        <v/>
      </c>
      <c r="O146" s="2"/>
      <c r="P146" s="2"/>
      <c r="Q146" s="2"/>
      <c r="R146" s="2"/>
      <c r="S146" s="2" t="s">
        <v>128</v>
      </c>
      <c r="T146" s="2"/>
      <c r="U146" s="2"/>
      <c r="V146" s="2" t="str">
        <f t="shared" si="5"/>
        <v/>
      </c>
      <c r="W146" t="str">
        <f>IF($P146="是",COUNTIF($P$2:$P146,"是"),"")</f>
        <v/>
      </c>
    </row>
    <row r="147" spans="1:23" ht="27.75">
      <c r="A147" s="2" t="s">
        <v>118</v>
      </c>
      <c r="B147" s="2" t="s">
        <v>617</v>
      </c>
      <c r="C147" s="2" t="s">
        <v>618</v>
      </c>
      <c r="D147" s="2" t="s">
        <v>716</v>
      </c>
      <c r="E147" s="2" t="s">
        <v>717</v>
      </c>
      <c r="F147" s="2" t="s">
        <v>718</v>
      </c>
      <c r="G147" s="2" t="s">
        <v>719</v>
      </c>
      <c r="H147" s="2" t="s">
        <v>168</v>
      </c>
      <c r="I147" s="2" t="s">
        <v>720</v>
      </c>
      <c r="J147" s="2" t="s">
        <v>721</v>
      </c>
      <c r="K147" s="2" t="s">
        <v>655</v>
      </c>
      <c r="L147" s="2"/>
      <c r="M147" s="2"/>
      <c r="N147" s="2" t="str">
        <f t="shared" si="4"/>
        <v/>
      </c>
      <c r="O147" s="2"/>
      <c r="P147" s="2"/>
      <c r="Q147" s="2"/>
      <c r="R147" s="2"/>
      <c r="S147" s="2" t="s">
        <v>128</v>
      </c>
      <c r="T147" s="2"/>
      <c r="U147" s="2"/>
      <c r="V147" s="2" t="str">
        <f t="shared" si="5"/>
        <v/>
      </c>
      <c r="W147" t="str">
        <f>IF($P147="是",COUNTIF($P$2:$P147,"是"),"")</f>
        <v/>
      </c>
    </row>
    <row r="148" spans="1:23" ht="27.75">
      <c r="A148" s="2" t="s">
        <v>118</v>
      </c>
      <c r="B148" s="2" t="s">
        <v>617</v>
      </c>
      <c r="C148" s="2" t="s">
        <v>618</v>
      </c>
      <c r="D148" s="2" t="s">
        <v>716</v>
      </c>
      <c r="E148" s="2" t="s">
        <v>717</v>
      </c>
      <c r="F148" s="2" t="s">
        <v>722</v>
      </c>
      <c r="G148" s="2" t="s">
        <v>723</v>
      </c>
      <c r="H148" s="2" t="s">
        <v>24</v>
      </c>
      <c r="I148" s="2" t="s">
        <v>724</v>
      </c>
      <c r="J148" s="2" t="s">
        <v>725</v>
      </c>
      <c r="K148" s="2" t="s">
        <v>660</v>
      </c>
      <c r="L148" s="2"/>
      <c r="M148" s="2"/>
      <c r="N148" s="2" t="str">
        <f t="shared" si="4"/>
        <v/>
      </c>
      <c r="O148" s="2"/>
      <c r="P148" s="2"/>
      <c r="Q148" s="2"/>
      <c r="R148" s="2"/>
      <c r="S148" s="2" t="s">
        <v>128</v>
      </c>
      <c r="T148" s="2"/>
      <c r="U148" s="2"/>
      <c r="V148" s="2" t="str">
        <f t="shared" si="5"/>
        <v/>
      </c>
      <c r="W148" t="str">
        <f>IF($P148="是",COUNTIF($P$2:$P148,"是"),"")</f>
        <v/>
      </c>
    </row>
    <row r="149" spans="1:23" ht="27.75">
      <c r="A149" s="2" t="s">
        <v>118</v>
      </c>
      <c r="B149" s="2" t="s">
        <v>617</v>
      </c>
      <c r="C149" s="2" t="s">
        <v>618</v>
      </c>
      <c r="D149" s="2" t="s">
        <v>716</v>
      </c>
      <c r="E149" s="2" t="s">
        <v>717</v>
      </c>
      <c r="F149" s="2" t="s">
        <v>726</v>
      </c>
      <c r="G149" s="2" t="s">
        <v>727</v>
      </c>
      <c r="H149" s="2" t="s">
        <v>24</v>
      </c>
      <c r="I149" s="2" t="s">
        <v>728</v>
      </c>
      <c r="J149" s="2" t="s">
        <v>729</v>
      </c>
      <c r="K149" s="2" t="s">
        <v>673</v>
      </c>
      <c r="L149" s="2"/>
      <c r="M149" s="2"/>
      <c r="N149" s="2" t="str">
        <f t="shared" si="4"/>
        <v/>
      </c>
      <c r="O149" s="2"/>
      <c r="P149" s="2"/>
      <c r="Q149" s="2"/>
      <c r="R149" s="2"/>
      <c r="S149" s="2" t="s">
        <v>128</v>
      </c>
      <c r="T149" s="2"/>
      <c r="U149" s="2"/>
      <c r="V149" s="2" t="str">
        <f t="shared" si="5"/>
        <v/>
      </c>
      <c r="W149" t="str">
        <f>IF($P149="是",COUNTIF($P$2:$P149,"是"),"")</f>
        <v/>
      </c>
    </row>
    <row r="150" spans="1:23" ht="41.65">
      <c r="A150" s="2" t="s">
        <v>118</v>
      </c>
      <c r="B150" s="2" t="s">
        <v>617</v>
      </c>
      <c r="C150" s="2" t="s">
        <v>618</v>
      </c>
      <c r="D150" s="2" t="s">
        <v>716</v>
      </c>
      <c r="E150" s="2" t="s">
        <v>717</v>
      </c>
      <c r="F150" s="2" t="s">
        <v>730</v>
      </c>
      <c r="G150" s="2" t="s">
        <v>731</v>
      </c>
      <c r="H150" s="2" t="s">
        <v>24</v>
      </c>
      <c r="I150" s="2" t="s">
        <v>732</v>
      </c>
      <c r="J150" s="2" t="s">
        <v>733</v>
      </c>
      <c r="K150" s="2" t="s">
        <v>734</v>
      </c>
      <c r="L150" s="2"/>
      <c r="M150" s="2"/>
      <c r="N150" s="2" t="str">
        <f t="shared" si="4"/>
        <v/>
      </c>
      <c r="O150" s="2"/>
      <c r="P150" s="2"/>
      <c r="Q150" s="2"/>
      <c r="R150" s="2"/>
      <c r="S150" s="2" t="s">
        <v>128</v>
      </c>
      <c r="T150" s="2"/>
      <c r="U150" s="2"/>
      <c r="V150" s="2" t="str">
        <f t="shared" si="5"/>
        <v/>
      </c>
      <c r="W150" t="str">
        <f>IF($P150="是",COUNTIF($P$2:$P150,"是"),"")</f>
        <v/>
      </c>
    </row>
    <row r="151" spans="1:23" ht="27.75">
      <c r="A151" s="2" t="s">
        <v>118</v>
      </c>
      <c r="B151" s="2" t="s">
        <v>617</v>
      </c>
      <c r="C151" s="2" t="s">
        <v>618</v>
      </c>
      <c r="D151" s="2" t="s">
        <v>716</v>
      </c>
      <c r="E151" s="2" t="s">
        <v>717</v>
      </c>
      <c r="F151" s="2" t="s">
        <v>735</v>
      </c>
      <c r="G151" s="2" t="s">
        <v>736</v>
      </c>
      <c r="H151" s="2" t="s">
        <v>24</v>
      </c>
      <c r="I151" s="2" t="s">
        <v>737</v>
      </c>
      <c r="J151" s="2" t="s">
        <v>738</v>
      </c>
      <c r="K151" s="2" t="s">
        <v>655</v>
      </c>
      <c r="L151" s="2"/>
      <c r="M151" s="2"/>
      <c r="N151" s="2" t="str">
        <f t="shared" si="4"/>
        <v/>
      </c>
      <c r="O151" s="2"/>
      <c r="P151" s="2"/>
      <c r="Q151" s="2"/>
      <c r="R151" s="2"/>
      <c r="S151" s="2" t="s">
        <v>128</v>
      </c>
      <c r="T151" s="2"/>
      <c r="U151" s="2"/>
      <c r="V151" s="2" t="str">
        <f t="shared" si="5"/>
        <v/>
      </c>
      <c r="W151" t="str">
        <f>IF($P151="是",COUNTIF($P$2:$P151,"是"),"")</f>
        <v/>
      </c>
    </row>
    <row r="152" spans="1:23" ht="27.75">
      <c r="A152" s="2" t="s">
        <v>118</v>
      </c>
      <c r="B152" s="2" t="s">
        <v>617</v>
      </c>
      <c r="C152" s="2" t="s">
        <v>618</v>
      </c>
      <c r="D152" s="2" t="s">
        <v>716</v>
      </c>
      <c r="E152" s="2" t="s">
        <v>717</v>
      </c>
      <c r="F152" s="2" t="s">
        <v>739</v>
      </c>
      <c r="G152" s="2" t="s">
        <v>740</v>
      </c>
      <c r="H152" s="2" t="s">
        <v>307</v>
      </c>
      <c r="I152" s="2" t="s">
        <v>741</v>
      </c>
      <c r="J152" s="2" t="s">
        <v>742</v>
      </c>
      <c r="K152" s="2" t="s">
        <v>673</v>
      </c>
      <c r="L152" s="2"/>
      <c r="M152" s="2"/>
      <c r="N152" s="2" t="str">
        <f t="shared" si="4"/>
        <v/>
      </c>
      <c r="O152" s="2"/>
      <c r="P152" s="2"/>
      <c r="Q152" s="2"/>
      <c r="R152" s="2"/>
      <c r="S152" s="2" t="s">
        <v>128</v>
      </c>
      <c r="T152" s="2"/>
      <c r="U152" s="2"/>
      <c r="V152" s="2" t="str">
        <f t="shared" si="5"/>
        <v/>
      </c>
      <c r="W152" t="str">
        <f>IF($P152="是",COUNTIF($P$2:$P152,"是"),"")</f>
        <v/>
      </c>
    </row>
    <row r="153" spans="1:23" ht="27.75">
      <c r="A153" s="2" t="s">
        <v>118</v>
      </c>
      <c r="B153" s="2" t="s">
        <v>617</v>
      </c>
      <c r="C153" s="2" t="s">
        <v>618</v>
      </c>
      <c r="D153" s="2" t="s">
        <v>716</v>
      </c>
      <c r="E153" s="2" t="s">
        <v>717</v>
      </c>
      <c r="F153" s="2" t="s">
        <v>743</v>
      </c>
      <c r="G153" s="2" t="s">
        <v>744</v>
      </c>
      <c r="H153" s="2" t="s">
        <v>27</v>
      </c>
      <c r="I153" s="2" t="s">
        <v>745</v>
      </c>
      <c r="J153" s="2" t="s">
        <v>746</v>
      </c>
      <c r="K153" s="2" t="s">
        <v>747</v>
      </c>
      <c r="L153" s="2"/>
      <c r="M153" s="2"/>
      <c r="N153" s="2" t="str">
        <f t="shared" si="4"/>
        <v/>
      </c>
      <c r="O153" s="2"/>
      <c r="P153" s="2"/>
      <c r="Q153" s="2"/>
      <c r="R153" s="2"/>
      <c r="S153" s="2" t="s">
        <v>128</v>
      </c>
      <c r="T153" s="2"/>
      <c r="U153" s="2"/>
      <c r="V153" s="2" t="str">
        <f t="shared" si="5"/>
        <v/>
      </c>
      <c r="W153" t="str">
        <f>IF($P153="是",COUNTIF($P$2:$P153,"是"),"")</f>
        <v/>
      </c>
    </row>
    <row r="154" spans="1:23" ht="27.75">
      <c r="A154" s="2" t="s">
        <v>118</v>
      </c>
      <c r="B154" s="2" t="s">
        <v>617</v>
      </c>
      <c r="C154" s="2" t="s">
        <v>618</v>
      </c>
      <c r="D154" s="2" t="s">
        <v>716</v>
      </c>
      <c r="E154" s="2" t="s">
        <v>717</v>
      </c>
      <c r="F154" s="2" t="s">
        <v>748</v>
      </c>
      <c r="G154" s="2" t="s">
        <v>749</v>
      </c>
      <c r="H154" s="2" t="s">
        <v>214</v>
      </c>
      <c r="I154" s="2" t="s">
        <v>750</v>
      </c>
      <c r="J154" s="2" t="s">
        <v>751</v>
      </c>
      <c r="K154" s="2" t="s">
        <v>673</v>
      </c>
      <c r="L154" s="2"/>
      <c r="M154" s="2"/>
      <c r="N154" s="2" t="str">
        <f t="shared" si="4"/>
        <v/>
      </c>
      <c r="O154" s="2"/>
      <c r="P154" s="2"/>
      <c r="Q154" s="2"/>
      <c r="R154" s="2"/>
      <c r="S154" s="2" t="s">
        <v>128</v>
      </c>
      <c r="T154" s="2"/>
      <c r="U154" s="2"/>
      <c r="V154" s="2" t="str">
        <f t="shared" si="5"/>
        <v/>
      </c>
      <c r="W154" t="str">
        <f>IF($P154="是",COUNTIF($P$2:$P154,"是"),"")</f>
        <v/>
      </c>
    </row>
    <row r="155" spans="1:23" ht="27.75">
      <c r="A155" s="2" t="s">
        <v>118</v>
      </c>
      <c r="B155" s="2" t="s">
        <v>617</v>
      </c>
      <c r="C155" s="2" t="s">
        <v>618</v>
      </c>
      <c r="D155" s="2" t="s">
        <v>752</v>
      </c>
      <c r="E155" s="2" t="s">
        <v>753</v>
      </c>
      <c r="F155" s="2" t="s">
        <v>754</v>
      </c>
      <c r="G155" s="2" t="s">
        <v>755</v>
      </c>
      <c r="H155" s="2" t="s">
        <v>21</v>
      </c>
      <c r="I155" s="2" t="s">
        <v>728</v>
      </c>
      <c r="J155" s="2" t="s">
        <v>756</v>
      </c>
      <c r="K155" s="2" t="s">
        <v>639</v>
      </c>
      <c r="L155" s="2"/>
      <c r="M155" s="2"/>
      <c r="N155" s="2" t="str">
        <f t="shared" si="4"/>
        <v/>
      </c>
      <c r="O155" s="2"/>
      <c r="P155" s="2"/>
      <c r="Q155" s="2"/>
      <c r="R155" s="2"/>
      <c r="S155" s="2" t="s">
        <v>128</v>
      </c>
      <c r="T155" s="2"/>
      <c r="U155" s="2"/>
      <c r="V155" s="2" t="str">
        <f t="shared" si="5"/>
        <v/>
      </c>
      <c r="W155" t="str">
        <f>IF($P155="是",COUNTIF($P$2:$P155,"是"),"")</f>
        <v/>
      </c>
    </row>
    <row r="156" spans="1:23" ht="27.75">
      <c r="A156" s="2" t="s">
        <v>118</v>
      </c>
      <c r="B156" s="2" t="s">
        <v>617</v>
      </c>
      <c r="C156" s="2" t="s">
        <v>618</v>
      </c>
      <c r="D156" s="2" t="s">
        <v>752</v>
      </c>
      <c r="E156" s="2" t="s">
        <v>753</v>
      </c>
      <c r="F156" s="2" t="s">
        <v>757</v>
      </c>
      <c r="G156" s="2" t="s">
        <v>758</v>
      </c>
      <c r="H156" s="2" t="s">
        <v>168</v>
      </c>
      <c r="I156" s="2" t="s">
        <v>759</v>
      </c>
      <c r="J156" s="2" t="s">
        <v>760</v>
      </c>
      <c r="K156" s="2" t="s">
        <v>655</v>
      </c>
      <c r="L156" s="2"/>
      <c r="M156" s="2"/>
      <c r="N156" s="2" t="str">
        <f t="shared" si="4"/>
        <v/>
      </c>
      <c r="O156" s="2"/>
      <c r="P156" s="2"/>
      <c r="Q156" s="2"/>
      <c r="R156" s="2"/>
      <c r="S156" s="2" t="s">
        <v>128</v>
      </c>
      <c r="T156" s="2"/>
      <c r="U156" s="2"/>
      <c r="V156" s="2" t="str">
        <f t="shared" si="5"/>
        <v/>
      </c>
      <c r="W156" t="str">
        <f>IF($P156="是",COUNTIF($P$2:$P156,"是"),"")</f>
        <v/>
      </c>
    </row>
    <row r="157" spans="1:23" ht="27.75">
      <c r="A157" s="2" t="s">
        <v>118</v>
      </c>
      <c r="B157" s="2" t="s">
        <v>617</v>
      </c>
      <c r="C157" s="2" t="s">
        <v>618</v>
      </c>
      <c r="D157" s="2" t="s">
        <v>752</v>
      </c>
      <c r="E157" s="2" t="s">
        <v>753</v>
      </c>
      <c r="F157" s="2" t="s">
        <v>761</v>
      </c>
      <c r="G157" s="2" t="s">
        <v>762</v>
      </c>
      <c r="H157" s="2" t="s">
        <v>24</v>
      </c>
      <c r="I157" s="2" t="s">
        <v>763</v>
      </c>
      <c r="J157" s="2" t="s">
        <v>764</v>
      </c>
      <c r="K157" s="2" t="s">
        <v>660</v>
      </c>
      <c r="L157" s="2"/>
      <c r="M157" s="2"/>
      <c r="N157" s="2" t="str">
        <f t="shared" si="4"/>
        <v/>
      </c>
      <c r="O157" s="2"/>
      <c r="P157" s="2"/>
      <c r="Q157" s="2"/>
      <c r="R157" s="2"/>
      <c r="S157" s="2" t="s">
        <v>128</v>
      </c>
      <c r="T157" s="2"/>
      <c r="U157" s="2"/>
      <c r="V157" s="2" t="str">
        <f t="shared" si="5"/>
        <v/>
      </c>
      <c r="W157" t="str">
        <f>IF($P157="是",COUNTIF($P$2:$P157,"是"),"")</f>
        <v/>
      </c>
    </row>
    <row r="158" spans="1:23" ht="27.75">
      <c r="A158" s="2" t="s">
        <v>118</v>
      </c>
      <c r="B158" s="2" t="s">
        <v>617</v>
      </c>
      <c r="C158" s="2" t="s">
        <v>618</v>
      </c>
      <c r="D158" s="2" t="s">
        <v>752</v>
      </c>
      <c r="E158" s="2" t="s">
        <v>753</v>
      </c>
      <c r="F158" s="2" t="s">
        <v>765</v>
      </c>
      <c r="G158" s="2" t="s">
        <v>766</v>
      </c>
      <c r="H158" s="2" t="s">
        <v>24</v>
      </c>
      <c r="I158" s="2" t="s">
        <v>767</v>
      </c>
      <c r="J158" s="2" t="s">
        <v>768</v>
      </c>
      <c r="K158" s="2" t="s">
        <v>769</v>
      </c>
      <c r="L158" s="2"/>
      <c r="M158" s="2"/>
      <c r="N158" s="2" t="str">
        <f t="shared" si="4"/>
        <v/>
      </c>
      <c r="O158" s="2"/>
      <c r="P158" s="2"/>
      <c r="Q158" s="2"/>
      <c r="R158" s="2"/>
      <c r="S158" s="2" t="s">
        <v>128</v>
      </c>
      <c r="T158" s="2"/>
      <c r="U158" s="2"/>
      <c r="V158" s="2" t="str">
        <f t="shared" si="5"/>
        <v/>
      </c>
      <c r="W158" t="str">
        <f>IF($P158="是",COUNTIF($P$2:$P158,"是"),"")</f>
        <v/>
      </c>
    </row>
    <row r="159" spans="1:23" ht="27.75">
      <c r="A159" s="2" t="s">
        <v>118</v>
      </c>
      <c r="B159" s="2" t="s">
        <v>617</v>
      </c>
      <c r="C159" s="2" t="s">
        <v>618</v>
      </c>
      <c r="D159" s="2" t="s">
        <v>752</v>
      </c>
      <c r="E159" s="2" t="s">
        <v>753</v>
      </c>
      <c r="F159" s="2" t="s">
        <v>770</v>
      </c>
      <c r="G159" s="2" t="s">
        <v>771</v>
      </c>
      <c r="H159" s="2" t="s">
        <v>307</v>
      </c>
      <c r="I159" s="2" t="s">
        <v>759</v>
      </c>
      <c r="J159" s="2" t="s">
        <v>772</v>
      </c>
      <c r="K159" s="2" t="s">
        <v>747</v>
      </c>
      <c r="L159" s="2"/>
      <c r="M159" s="2"/>
      <c r="N159" s="2" t="str">
        <f t="shared" si="4"/>
        <v/>
      </c>
      <c r="O159" s="2"/>
      <c r="P159" s="2"/>
      <c r="Q159" s="2"/>
      <c r="R159" s="2"/>
      <c r="S159" s="2" t="s">
        <v>128</v>
      </c>
      <c r="T159" s="2"/>
      <c r="U159" s="2"/>
      <c r="V159" s="2" t="str">
        <f t="shared" si="5"/>
        <v/>
      </c>
      <c r="W159" t="str">
        <f>IF($P159="是",COUNTIF($P$2:$P159,"是"),"")</f>
        <v/>
      </c>
    </row>
    <row r="160" spans="1:23" ht="27.75">
      <c r="A160" s="2" t="s">
        <v>118</v>
      </c>
      <c r="B160" s="2" t="s">
        <v>617</v>
      </c>
      <c r="C160" s="2" t="s">
        <v>618</v>
      </c>
      <c r="D160" s="2" t="s">
        <v>752</v>
      </c>
      <c r="E160" s="2" t="s">
        <v>753</v>
      </c>
      <c r="F160" s="2" t="s">
        <v>773</v>
      </c>
      <c r="G160" s="2" t="s">
        <v>774</v>
      </c>
      <c r="H160" s="2" t="s">
        <v>24</v>
      </c>
      <c r="I160" s="2" t="s">
        <v>775</v>
      </c>
      <c r="J160" s="2" t="s">
        <v>776</v>
      </c>
      <c r="K160" s="2" t="s">
        <v>660</v>
      </c>
      <c r="L160" s="2"/>
      <c r="M160" s="2"/>
      <c r="N160" s="2" t="str">
        <f t="shared" si="4"/>
        <v/>
      </c>
      <c r="O160" s="2"/>
      <c r="P160" s="2"/>
      <c r="Q160" s="2"/>
      <c r="R160" s="2"/>
      <c r="S160" s="2" t="s">
        <v>128</v>
      </c>
      <c r="T160" s="2"/>
      <c r="U160" s="2"/>
      <c r="V160" s="2" t="str">
        <f t="shared" si="5"/>
        <v/>
      </c>
      <c r="W160" t="str">
        <f>IF($P160="是",COUNTIF($P$2:$P160,"是"),"")</f>
        <v/>
      </c>
    </row>
    <row r="161" spans="1:23" ht="27.75">
      <c r="A161" s="2" t="s">
        <v>118</v>
      </c>
      <c r="B161" s="2" t="s">
        <v>617</v>
      </c>
      <c r="C161" s="2" t="s">
        <v>618</v>
      </c>
      <c r="D161" s="2" t="s">
        <v>752</v>
      </c>
      <c r="E161" s="2" t="s">
        <v>753</v>
      </c>
      <c r="F161" s="2" t="s">
        <v>777</v>
      </c>
      <c r="G161" s="2" t="s">
        <v>778</v>
      </c>
      <c r="H161" s="2" t="s">
        <v>27</v>
      </c>
      <c r="I161" s="2" t="s">
        <v>779</v>
      </c>
      <c r="J161" s="2" t="s">
        <v>780</v>
      </c>
      <c r="K161" s="2" t="s">
        <v>769</v>
      </c>
      <c r="L161" s="2"/>
      <c r="M161" s="2"/>
      <c r="N161" s="2" t="str">
        <f t="shared" si="4"/>
        <v/>
      </c>
      <c r="O161" s="2"/>
      <c r="P161" s="2"/>
      <c r="Q161" s="2"/>
      <c r="R161" s="2"/>
      <c r="S161" s="2" t="s">
        <v>128</v>
      </c>
      <c r="T161" s="2"/>
      <c r="U161" s="2"/>
      <c r="V161" s="2" t="str">
        <f t="shared" si="5"/>
        <v/>
      </c>
      <c r="W161" t="str">
        <f>IF($P161="是",COUNTIF($P$2:$P161,"是"),"")</f>
        <v/>
      </c>
    </row>
    <row r="162" spans="1:23" ht="27.75">
      <c r="A162" s="2" t="s">
        <v>118</v>
      </c>
      <c r="B162" s="2" t="s">
        <v>617</v>
      </c>
      <c r="C162" s="2" t="s">
        <v>618</v>
      </c>
      <c r="D162" s="2" t="s">
        <v>752</v>
      </c>
      <c r="E162" s="2" t="s">
        <v>753</v>
      </c>
      <c r="F162" s="2" t="s">
        <v>781</v>
      </c>
      <c r="G162" s="2" t="s">
        <v>782</v>
      </c>
      <c r="H162" s="2" t="s">
        <v>27</v>
      </c>
      <c r="I162" s="2" t="s">
        <v>783</v>
      </c>
      <c r="J162" s="2" t="s">
        <v>784</v>
      </c>
      <c r="K162" s="2" t="s">
        <v>769</v>
      </c>
      <c r="L162" s="2"/>
      <c r="M162" s="2"/>
      <c r="N162" s="2" t="str">
        <f t="shared" si="4"/>
        <v/>
      </c>
      <c r="O162" s="2"/>
      <c r="P162" s="2"/>
      <c r="Q162" s="2"/>
      <c r="R162" s="2"/>
      <c r="S162" s="2" t="s">
        <v>128</v>
      </c>
      <c r="T162" s="2"/>
      <c r="U162" s="2"/>
      <c r="V162" s="2" t="str">
        <f t="shared" si="5"/>
        <v/>
      </c>
      <c r="W162" t="str">
        <f>IF($P162="是",COUNTIF($P$2:$P162,"是"),"")</f>
        <v/>
      </c>
    </row>
    <row r="163" spans="1:23" ht="27.75">
      <c r="A163" s="2" t="s">
        <v>118</v>
      </c>
      <c r="B163" s="2" t="s">
        <v>617</v>
      </c>
      <c r="C163" s="2" t="s">
        <v>618</v>
      </c>
      <c r="D163" s="2" t="s">
        <v>785</v>
      </c>
      <c r="E163" s="2" t="s">
        <v>786</v>
      </c>
      <c r="F163" s="2" t="s">
        <v>787</v>
      </c>
      <c r="G163" s="2" t="s">
        <v>788</v>
      </c>
      <c r="H163" s="2" t="s">
        <v>21</v>
      </c>
      <c r="I163" s="2" t="s">
        <v>789</v>
      </c>
      <c r="J163" s="2" t="s">
        <v>790</v>
      </c>
      <c r="K163" s="2" t="s">
        <v>639</v>
      </c>
      <c r="L163" s="2"/>
      <c r="M163" s="2"/>
      <c r="N163" s="2" t="str">
        <f t="shared" si="4"/>
        <v/>
      </c>
      <c r="O163" s="2"/>
      <c r="P163" s="2"/>
      <c r="Q163" s="2"/>
      <c r="R163" s="2"/>
      <c r="S163" s="2" t="s">
        <v>128</v>
      </c>
      <c r="T163" s="2"/>
      <c r="U163" s="2"/>
      <c r="V163" s="2" t="str">
        <f t="shared" si="5"/>
        <v/>
      </c>
      <c r="W163" t="str">
        <f>IF($P163="是",COUNTIF($P$2:$P163,"是"),"")</f>
        <v/>
      </c>
    </row>
    <row r="164" spans="1:23" ht="27.75">
      <c r="A164" s="2" t="s">
        <v>118</v>
      </c>
      <c r="B164" s="2" t="s">
        <v>617</v>
      </c>
      <c r="C164" s="2" t="s">
        <v>618</v>
      </c>
      <c r="D164" s="2" t="s">
        <v>785</v>
      </c>
      <c r="E164" s="2" t="s">
        <v>786</v>
      </c>
      <c r="F164" s="2" t="s">
        <v>791</v>
      </c>
      <c r="G164" s="2" t="s">
        <v>792</v>
      </c>
      <c r="H164" s="2" t="s">
        <v>24</v>
      </c>
      <c r="I164" s="2" t="s">
        <v>767</v>
      </c>
      <c r="J164" s="2" t="s">
        <v>793</v>
      </c>
      <c r="K164" s="2" t="s">
        <v>769</v>
      </c>
      <c r="L164" s="2"/>
      <c r="M164" s="2"/>
      <c r="N164" s="2" t="str">
        <f t="shared" si="4"/>
        <v/>
      </c>
      <c r="O164" s="2"/>
      <c r="P164" s="2"/>
      <c r="Q164" s="2"/>
      <c r="R164" s="2"/>
      <c r="S164" s="2" t="s">
        <v>128</v>
      </c>
      <c r="T164" s="2"/>
      <c r="U164" s="2"/>
      <c r="V164" s="2" t="str">
        <f t="shared" si="5"/>
        <v/>
      </c>
      <c r="W164" t="str">
        <f>IF($P164="是",COUNTIF($P$2:$P164,"是"),"")</f>
        <v/>
      </c>
    </row>
    <row r="165" spans="1:23" ht="27.75">
      <c r="A165" s="2" t="s">
        <v>118</v>
      </c>
      <c r="B165" s="2" t="s">
        <v>617</v>
      </c>
      <c r="C165" s="2" t="s">
        <v>618</v>
      </c>
      <c r="D165" s="2" t="s">
        <v>785</v>
      </c>
      <c r="E165" s="2" t="s">
        <v>786</v>
      </c>
      <c r="F165" s="2" t="s">
        <v>794</v>
      </c>
      <c r="G165" s="2" t="s">
        <v>795</v>
      </c>
      <c r="H165" s="2" t="s">
        <v>168</v>
      </c>
      <c r="I165" s="2" t="s">
        <v>796</v>
      </c>
      <c r="J165" s="2" t="s">
        <v>797</v>
      </c>
      <c r="K165" s="2" t="s">
        <v>639</v>
      </c>
      <c r="L165" s="2"/>
      <c r="M165" s="2"/>
      <c r="N165" s="2" t="str">
        <f t="shared" si="4"/>
        <v/>
      </c>
      <c r="O165" s="2"/>
      <c r="P165" s="2"/>
      <c r="Q165" s="2"/>
      <c r="R165" s="2"/>
      <c r="S165" s="2" t="s">
        <v>128</v>
      </c>
      <c r="T165" s="2"/>
      <c r="U165" s="2"/>
      <c r="V165" s="2" t="str">
        <f t="shared" si="5"/>
        <v/>
      </c>
      <c r="W165" t="str">
        <f>IF($P165="是",COUNTIF($P$2:$P165,"是"),"")</f>
        <v/>
      </c>
    </row>
    <row r="166" spans="1:23" ht="27.75">
      <c r="A166" s="2" t="s">
        <v>118</v>
      </c>
      <c r="B166" s="2" t="s">
        <v>617</v>
      </c>
      <c r="C166" s="2" t="s">
        <v>618</v>
      </c>
      <c r="D166" s="2" t="s">
        <v>785</v>
      </c>
      <c r="E166" s="2" t="s">
        <v>786</v>
      </c>
      <c r="F166" s="2" t="s">
        <v>798</v>
      </c>
      <c r="G166" s="2" t="s">
        <v>799</v>
      </c>
      <c r="H166" s="2" t="s">
        <v>24</v>
      </c>
      <c r="I166" s="2" t="s">
        <v>789</v>
      </c>
      <c r="J166" s="2" t="s">
        <v>800</v>
      </c>
      <c r="K166" s="2" t="s">
        <v>655</v>
      </c>
      <c r="L166" s="2"/>
      <c r="M166" s="2"/>
      <c r="N166" s="2" t="str">
        <f t="shared" si="4"/>
        <v/>
      </c>
      <c r="O166" s="2"/>
      <c r="P166" s="2"/>
      <c r="Q166" s="2"/>
      <c r="R166" s="2"/>
      <c r="S166" s="2" t="s">
        <v>128</v>
      </c>
      <c r="T166" s="2"/>
      <c r="U166" s="2"/>
      <c r="V166" s="2" t="str">
        <f t="shared" si="5"/>
        <v/>
      </c>
      <c r="W166" t="str">
        <f>IF($P166="是",COUNTIF($P$2:$P166,"是"),"")</f>
        <v/>
      </c>
    </row>
    <row r="167" spans="1:23" ht="27.75">
      <c r="A167" s="2" t="s">
        <v>118</v>
      </c>
      <c r="B167" s="2" t="s">
        <v>617</v>
      </c>
      <c r="C167" s="2" t="s">
        <v>618</v>
      </c>
      <c r="D167" s="2" t="s">
        <v>785</v>
      </c>
      <c r="E167" s="2" t="s">
        <v>786</v>
      </c>
      <c r="F167" s="2" t="s">
        <v>801</v>
      </c>
      <c r="G167" s="2" t="s">
        <v>802</v>
      </c>
      <c r="H167" s="2" t="s">
        <v>24</v>
      </c>
      <c r="I167" s="2" t="s">
        <v>803</v>
      </c>
      <c r="J167" s="2" t="s">
        <v>804</v>
      </c>
      <c r="K167" s="2" t="s">
        <v>639</v>
      </c>
      <c r="L167" s="2"/>
      <c r="M167" s="2"/>
      <c r="N167" s="2" t="str">
        <f t="shared" si="4"/>
        <v/>
      </c>
      <c r="O167" s="2"/>
      <c r="P167" s="2"/>
      <c r="Q167" s="2"/>
      <c r="R167" s="2"/>
      <c r="S167" s="2" t="s">
        <v>128</v>
      </c>
      <c r="T167" s="2"/>
      <c r="U167" s="2"/>
      <c r="V167" s="2" t="str">
        <f t="shared" si="5"/>
        <v/>
      </c>
      <c r="W167" t="str">
        <f>IF($P167="是",COUNTIF($P$2:$P167,"是"),"")</f>
        <v/>
      </c>
    </row>
    <row r="168" spans="1:23" ht="27.75">
      <c r="A168" s="2" t="s">
        <v>118</v>
      </c>
      <c r="B168" s="2" t="s">
        <v>617</v>
      </c>
      <c r="C168" s="2" t="s">
        <v>618</v>
      </c>
      <c r="D168" s="2" t="s">
        <v>785</v>
      </c>
      <c r="E168" s="2" t="s">
        <v>786</v>
      </c>
      <c r="F168" s="2" t="s">
        <v>805</v>
      </c>
      <c r="G168" s="2" t="s">
        <v>806</v>
      </c>
      <c r="H168" s="2" t="s">
        <v>24</v>
      </c>
      <c r="I168" s="2" t="s">
        <v>807</v>
      </c>
      <c r="J168" s="2" t="s">
        <v>808</v>
      </c>
      <c r="K168" s="2" t="s">
        <v>769</v>
      </c>
      <c r="L168" s="2"/>
      <c r="M168" s="2"/>
      <c r="N168" s="2" t="str">
        <f t="shared" si="4"/>
        <v/>
      </c>
      <c r="O168" s="2"/>
      <c r="P168" s="2"/>
      <c r="Q168" s="2"/>
      <c r="R168" s="2"/>
      <c r="S168" s="2" t="s">
        <v>128</v>
      </c>
      <c r="T168" s="2"/>
      <c r="U168" s="2"/>
      <c r="V168" s="2" t="str">
        <f t="shared" si="5"/>
        <v/>
      </c>
      <c r="W168" t="str">
        <f>IF($P168="是",COUNTIF($P$2:$P168,"是"),"")</f>
        <v/>
      </c>
    </row>
    <row r="169" spans="1:23" ht="27.75">
      <c r="A169" s="2" t="s">
        <v>118</v>
      </c>
      <c r="B169" s="2" t="s">
        <v>617</v>
      </c>
      <c r="C169" s="2" t="s">
        <v>618</v>
      </c>
      <c r="D169" s="2" t="s">
        <v>785</v>
      </c>
      <c r="E169" s="2" t="s">
        <v>786</v>
      </c>
      <c r="F169" s="2" t="s">
        <v>809</v>
      </c>
      <c r="G169" s="2" t="s">
        <v>810</v>
      </c>
      <c r="H169" s="2" t="s">
        <v>27</v>
      </c>
      <c r="I169" s="2" t="s">
        <v>796</v>
      </c>
      <c r="J169" s="2" t="s">
        <v>811</v>
      </c>
      <c r="K169" s="2" t="s">
        <v>660</v>
      </c>
      <c r="L169" s="2"/>
      <c r="M169" s="2"/>
      <c r="N169" s="2" t="str">
        <f t="shared" si="4"/>
        <v/>
      </c>
      <c r="O169" s="2"/>
      <c r="P169" s="2"/>
      <c r="Q169" s="2"/>
      <c r="R169" s="2"/>
      <c r="S169" s="2" t="s">
        <v>128</v>
      </c>
      <c r="T169" s="2"/>
      <c r="U169" s="2"/>
      <c r="V169" s="2" t="str">
        <f t="shared" si="5"/>
        <v/>
      </c>
      <c r="W169" t="str">
        <f>IF($P169="是",COUNTIF($P$2:$P169,"是"),"")</f>
        <v/>
      </c>
    </row>
    <row r="170" spans="1:23" ht="27.75">
      <c r="A170" s="2" t="s">
        <v>118</v>
      </c>
      <c r="B170" s="2" t="s">
        <v>617</v>
      </c>
      <c r="C170" s="2" t="s">
        <v>618</v>
      </c>
      <c r="D170" s="2" t="s">
        <v>785</v>
      </c>
      <c r="E170" s="2" t="s">
        <v>786</v>
      </c>
      <c r="F170" s="2" t="s">
        <v>812</v>
      </c>
      <c r="G170" s="2" t="s">
        <v>813</v>
      </c>
      <c r="H170" s="2" t="s">
        <v>214</v>
      </c>
      <c r="I170" s="2" t="s">
        <v>803</v>
      </c>
      <c r="J170" s="2" t="s">
        <v>814</v>
      </c>
      <c r="K170" s="2" t="s">
        <v>673</v>
      </c>
      <c r="L170" s="2"/>
      <c r="M170" s="2"/>
      <c r="N170" s="2" t="str">
        <f t="shared" si="4"/>
        <v/>
      </c>
      <c r="O170" s="2"/>
      <c r="P170" s="2"/>
      <c r="Q170" s="2"/>
      <c r="R170" s="2"/>
      <c r="S170" s="2" t="s">
        <v>128</v>
      </c>
      <c r="T170" s="2"/>
      <c r="U170" s="2"/>
      <c r="V170" s="2" t="str">
        <f t="shared" si="5"/>
        <v/>
      </c>
      <c r="W170" t="str">
        <f>IF($P170="是",COUNTIF($P$2:$P170,"是"),"")</f>
        <v/>
      </c>
    </row>
    <row r="171" spans="1:23" ht="27.75">
      <c r="A171" s="2" t="s">
        <v>118</v>
      </c>
      <c r="B171" s="2" t="s">
        <v>617</v>
      </c>
      <c r="C171" s="2" t="s">
        <v>618</v>
      </c>
      <c r="D171" s="2" t="s">
        <v>815</v>
      </c>
      <c r="E171" s="2" t="s">
        <v>816</v>
      </c>
      <c r="F171" s="2" t="s">
        <v>817</v>
      </c>
      <c r="G171" s="2" t="s">
        <v>818</v>
      </c>
      <c r="H171" s="2" t="s">
        <v>21</v>
      </c>
      <c r="I171" s="2" t="s">
        <v>819</v>
      </c>
      <c r="J171" s="2" t="s">
        <v>820</v>
      </c>
      <c r="K171" s="2" t="s">
        <v>625</v>
      </c>
      <c r="L171" s="2"/>
      <c r="M171" s="2"/>
      <c r="N171" s="2" t="str">
        <f t="shared" si="4"/>
        <v/>
      </c>
      <c r="O171" s="2"/>
      <c r="P171" s="2"/>
      <c r="Q171" s="2"/>
      <c r="R171" s="2"/>
      <c r="S171" s="2" t="s">
        <v>128</v>
      </c>
      <c r="T171" s="2"/>
      <c r="U171" s="2"/>
      <c r="V171" s="2" t="str">
        <f t="shared" si="5"/>
        <v/>
      </c>
      <c r="W171" t="str">
        <f>IF($P171="是",COUNTIF($P$2:$P171,"是"),"")</f>
        <v/>
      </c>
    </row>
    <row r="172" spans="1:23" ht="27.75">
      <c r="A172" s="2" t="s">
        <v>118</v>
      </c>
      <c r="B172" s="2" t="s">
        <v>617</v>
      </c>
      <c r="C172" s="2" t="s">
        <v>618</v>
      </c>
      <c r="D172" s="2" t="s">
        <v>815</v>
      </c>
      <c r="E172" s="2" t="s">
        <v>816</v>
      </c>
      <c r="F172" s="2" t="s">
        <v>821</v>
      </c>
      <c r="G172" s="2" t="s">
        <v>822</v>
      </c>
      <c r="H172" s="2" t="s">
        <v>168</v>
      </c>
      <c r="I172" s="2" t="s">
        <v>819</v>
      </c>
      <c r="J172" s="2" t="s">
        <v>823</v>
      </c>
      <c r="K172" s="2" t="s">
        <v>824</v>
      </c>
      <c r="L172" s="2"/>
      <c r="M172" s="2"/>
      <c r="N172" s="2" t="str">
        <f t="shared" si="4"/>
        <v/>
      </c>
      <c r="O172" s="2"/>
      <c r="P172" s="2"/>
      <c r="Q172" s="2"/>
      <c r="R172" s="2"/>
      <c r="S172" s="2" t="s">
        <v>128</v>
      </c>
      <c r="T172" s="2"/>
      <c r="U172" s="2"/>
      <c r="V172" s="2" t="str">
        <f t="shared" si="5"/>
        <v/>
      </c>
      <c r="W172" t="str">
        <f>IF($P172="是",COUNTIF($P$2:$P172,"是"),"")</f>
        <v/>
      </c>
    </row>
    <row r="173" spans="1:23" ht="27.75">
      <c r="A173" s="2" t="s">
        <v>118</v>
      </c>
      <c r="B173" s="2" t="s">
        <v>617</v>
      </c>
      <c r="C173" s="2" t="s">
        <v>618</v>
      </c>
      <c r="D173" s="2" t="s">
        <v>815</v>
      </c>
      <c r="E173" s="2" t="s">
        <v>816</v>
      </c>
      <c r="F173" s="2" t="s">
        <v>825</v>
      </c>
      <c r="G173" s="2" t="s">
        <v>826</v>
      </c>
      <c r="H173" s="2" t="s">
        <v>168</v>
      </c>
      <c r="I173" s="2" t="s">
        <v>819</v>
      </c>
      <c r="J173" s="2" t="s">
        <v>827</v>
      </c>
      <c r="K173" s="2" t="s">
        <v>625</v>
      </c>
      <c r="L173" s="2"/>
      <c r="M173" s="2"/>
      <c r="N173" s="2" t="str">
        <f t="shared" si="4"/>
        <v/>
      </c>
      <c r="O173" s="2"/>
      <c r="P173" s="2"/>
      <c r="Q173" s="2"/>
      <c r="R173" s="2"/>
      <c r="S173" s="2" t="s">
        <v>128</v>
      </c>
      <c r="T173" s="2"/>
      <c r="U173" s="2"/>
      <c r="V173" s="2" t="str">
        <f t="shared" si="5"/>
        <v/>
      </c>
      <c r="W173" t="str">
        <f>IF($P173="是",COUNTIF($P$2:$P173,"是"),"")</f>
        <v/>
      </c>
    </row>
    <row r="174" spans="1:23" ht="27.75">
      <c r="A174" s="2" t="s">
        <v>118</v>
      </c>
      <c r="B174" s="2" t="s">
        <v>617</v>
      </c>
      <c r="C174" s="2" t="s">
        <v>618</v>
      </c>
      <c r="D174" s="2" t="s">
        <v>815</v>
      </c>
      <c r="E174" s="2" t="s">
        <v>816</v>
      </c>
      <c r="F174" s="2" t="s">
        <v>828</v>
      </c>
      <c r="G174" s="2" t="s">
        <v>829</v>
      </c>
      <c r="H174" s="2" t="s">
        <v>24</v>
      </c>
      <c r="I174" s="2" t="s">
        <v>830</v>
      </c>
      <c r="J174" s="2" t="s">
        <v>831</v>
      </c>
      <c r="K174" s="2" t="s">
        <v>639</v>
      </c>
      <c r="L174" s="2"/>
      <c r="M174" s="2"/>
      <c r="N174" s="2" t="str">
        <f t="shared" si="4"/>
        <v/>
      </c>
      <c r="O174" s="2"/>
      <c r="P174" s="2"/>
      <c r="Q174" s="2"/>
      <c r="R174" s="2"/>
      <c r="S174" s="2" t="s">
        <v>128</v>
      </c>
      <c r="T174" s="2"/>
      <c r="U174" s="2"/>
      <c r="V174" s="2" t="str">
        <f t="shared" si="5"/>
        <v/>
      </c>
      <c r="W174" t="str">
        <f>IF($P174="是",COUNTIF($P$2:$P174,"是"),"")</f>
        <v/>
      </c>
    </row>
    <row r="175" spans="1:23" ht="27.75">
      <c r="A175" s="2" t="s">
        <v>118</v>
      </c>
      <c r="B175" s="2" t="s">
        <v>617</v>
      </c>
      <c r="C175" s="2" t="s">
        <v>618</v>
      </c>
      <c r="D175" s="2" t="s">
        <v>815</v>
      </c>
      <c r="E175" s="2" t="s">
        <v>816</v>
      </c>
      <c r="F175" s="2" t="s">
        <v>832</v>
      </c>
      <c r="G175" s="2" t="s">
        <v>833</v>
      </c>
      <c r="H175" s="2" t="s">
        <v>24</v>
      </c>
      <c r="I175" s="2" t="s">
        <v>834</v>
      </c>
      <c r="J175" s="2" t="s">
        <v>835</v>
      </c>
      <c r="K175" s="2" t="s">
        <v>639</v>
      </c>
      <c r="L175" s="2"/>
      <c r="M175" s="2"/>
      <c r="N175" s="2" t="str">
        <f t="shared" si="4"/>
        <v/>
      </c>
      <c r="O175" s="2"/>
      <c r="P175" s="2"/>
      <c r="Q175" s="2"/>
      <c r="R175" s="2"/>
      <c r="S175" s="2" t="s">
        <v>128</v>
      </c>
      <c r="T175" s="2"/>
      <c r="U175" s="2"/>
      <c r="V175" s="2" t="str">
        <f t="shared" si="5"/>
        <v/>
      </c>
      <c r="W175" t="str">
        <f>IF($P175="是",COUNTIF($P$2:$P175,"是"),"")</f>
        <v/>
      </c>
    </row>
    <row r="176" spans="1:23" ht="27.75">
      <c r="A176" s="2" t="s">
        <v>118</v>
      </c>
      <c r="B176" s="2" t="s">
        <v>617</v>
      </c>
      <c r="C176" s="2" t="s">
        <v>618</v>
      </c>
      <c r="D176" s="2" t="s">
        <v>815</v>
      </c>
      <c r="E176" s="2" t="s">
        <v>816</v>
      </c>
      <c r="F176" s="2" t="s">
        <v>836</v>
      </c>
      <c r="G176" s="2" t="s">
        <v>837</v>
      </c>
      <c r="H176" s="2" t="s">
        <v>24</v>
      </c>
      <c r="I176" s="2" t="s">
        <v>628</v>
      </c>
      <c r="J176" s="2" t="s">
        <v>838</v>
      </c>
      <c r="K176" s="2" t="s">
        <v>639</v>
      </c>
      <c r="L176" s="2"/>
      <c r="M176" s="2"/>
      <c r="N176" s="2" t="str">
        <f t="shared" si="4"/>
        <v/>
      </c>
      <c r="O176" s="2"/>
      <c r="P176" s="2"/>
      <c r="Q176" s="2"/>
      <c r="R176" s="2"/>
      <c r="S176" s="2" t="s">
        <v>128</v>
      </c>
      <c r="T176" s="2"/>
      <c r="U176" s="2"/>
      <c r="V176" s="2" t="str">
        <f t="shared" si="5"/>
        <v/>
      </c>
      <c r="W176" t="str">
        <f>IF($P176="是",COUNTIF($P$2:$P176,"是"),"")</f>
        <v/>
      </c>
    </row>
    <row r="177" spans="1:23" ht="27.75">
      <c r="A177" s="2" t="s">
        <v>118</v>
      </c>
      <c r="B177" s="2" t="s">
        <v>617</v>
      </c>
      <c r="C177" s="2" t="s">
        <v>618</v>
      </c>
      <c r="D177" s="2" t="s">
        <v>815</v>
      </c>
      <c r="E177" s="2" t="s">
        <v>816</v>
      </c>
      <c r="F177" s="2" t="s">
        <v>839</v>
      </c>
      <c r="G177" s="2" t="s">
        <v>840</v>
      </c>
      <c r="H177" s="2" t="s">
        <v>27</v>
      </c>
      <c r="I177" s="2" t="s">
        <v>830</v>
      </c>
      <c r="J177" s="2" t="s">
        <v>841</v>
      </c>
      <c r="K177" s="2" t="s">
        <v>673</v>
      </c>
      <c r="L177" s="2"/>
      <c r="M177" s="2"/>
      <c r="N177" s="2" t="str">
        <f t="shared" si="4"/>
        <v/>
      </c>
      <c r="O177" s="2"/>
      <c r="P177" s="2"/>
      <c r="Q177" s="2"/>
      <c r="R177" s="2"/>
      <c r="S177" s="2" t="s">
        <v>128</v>
      </c>
      <c r="T177" s="2"/>
      <c r="U177" s="2"/>
      <c r="V177" s="2" t="str">
        <f t="shared" si="5"/>
        <v/>
      </c>
      <c r="W177" t="str">
        <f>IF($P177="是",COUNTIF($P$2:$P177,"是"),"")</f>
        <v/>
      </c>
    </row>
    <row r="178" spans="1:23" ht="27.75">
      <c r="A178" s="2" t="s">
        <v>118</v>
      </c>
      <c r="B178" s="2" t="s">
        <v>617</v>
      </c>
      <c r="C178" s="2" t="s">
        <v>618</v>
      </c>
      <c r="D178" s="2" t="s">
        <v>815</v>
      </c>
      <c r="E178" s="2" t="s">
        <v>816</v>
      </c>
      <c r="F178" s="2" t="s">
        <v>842</v>
      </c>
      <c r="G178" s="2" t="s">
        <v>843</v>
      </c>
      <c r="H178" s="2" t="s">
        <v>214</v>
      </c>
      <c r="I178" s="2" t="s">
        <v>819</v>
      </c>
      <c r="J178" s="2" t="s">
        <v>844</v>
      </c>
      <c r="K178" s="2" t="s">
        <v>660</v>
      </c>
      <c r="L178" s="2"/>
      <c r="M178" s="2"/>
      <c r="N178" s="2" t="str">
        <f t="shared" si="4"/>
        <v/>
      </c>
      <c r="O178" s="2"/>
      <c r="P178" s="2"/>
      <c r="Q178" s="2"/>
      <c r="R178" s="2"/>
      <c r="S178" s="2" t="s">
        <v>128</v>
      </c>
      <c r="T178" s="2"/>
      <c r="U178" s="2"/>
      <c r="V178" s="2" t="str">
        <f t="shared" si="5"/>
        <v/>
      </c>
      <c r="W178" t="str">
        <f>IF($P178="是",COUNTIF($P$2:$P178,"是"),"")</f>
        <v/>
      </c>
    </row>
    <row r="179" spans="1:23" ht="27.75">
      <c r="A179" s="2" t="s">
        <v>118</v>
      </c>
      <c r="B179" s="2" t="s">
        <v>617</v>
      </c>
      <c r="C179" s="2" t="s">
        <v>618</v>
      </c>
      <c r="D179" s="2" t="s">
        <v>845</v>
      </c>
      <c r="E179" s="2" t="s">
        <v>846</v>
      </c>
      <c r="F179" s="2" t="s">
        <v>847</v>
      </c>
      <c r="G179" s="2" t="s">
        <v>848</v>
      </c>
      <c r="H179" s="2" t="s">
        <v>168</v>
      </c>
      <c r="I179" s="2" t="s">
        <v>819</v>
      </c>
      <c r="J179" s="2" t="s">
        <v>849</v>
      </c>
      <c r="K179" s="2" t="s">
        <v>639</v>
      </c>
      <c r="L179" s="2"/>
      <c r="M179" s="2"/>
      <c r="N179" s="2" t="str">
        <f t="shared" si="4"/>
        <v/>
      </c>
      <c r="O179" s="2"/>
      <c r="P179" s="2"/>
      <c r="Q179" s="2"/>
      <c r="R179" s="2"/>
      <c r="S179" s="2" t="s">
        <v>128</v>
      </c>
      <c r="T179" s="2"/>
      <c r="U179" s="2"/>
      <c r="V179" s="2" t="str">
        <f t="shared" si="5"/>
        <v/>
      </c>
      <c r="W179" t="str">
        <f>IF($P179="是",COUNTIF($P$2:$P179,"是"),"")</f>
        <v/>
      </c>
    </row>
    <row r="180" spans="1:23" ht="27.75">
      <c r="A180" s="2" t="s">
        <v>118</v>
      </c>
      <c r="B180" s="2" t="s">
        <v>617</v>
      </c>
      <c r="C180" s="2" t="s">
        <v>618</v>
      </c>
      <c r="D180" s="2" t="s">
        <v>845</v>
      </c>
      <c r="E180" s="2" t="s">
        <v>846</v>
      </c>
      <c r="F180" s="2" t="s">
        <v>850</v>
      </c>
      <c r="G180" s="2" t="s">
        <v>851</v>
      </c>
      <c r="H180" s="2" t="s">
        <v>24</v>
      </c>
      <c r="I180" s="2" t="s">
        <v>852</v>
      </c>
      <c r="J180" s="2" t="s">
        <v>853</v>
      </c>
      <c r="K180" s="2" t="s">
        <v>673</v>
      </c>
      <c r="L180" s="2"/>
      <c r="M180" s="2"/>
      <c r="N180" s="2" t="str">
        <f t="shared" si="4"/>
        <v/>
      </c>
      <c r="O180" s="2"/>
      <c r="P180" s="2"/>
      <c r="Q180" s="2"/>
      <c r="R180" s="2"/>
      <c r="S180" s="2" t="s">
        <v>128</v>
      </c>
      <c r="T180" s="2"/>
      <c r="U180" s="2"/>
      <c r="V180" s="2" t="str">
        <f t="shared" si="5"/>
        <v/>
      </c>
      <c r="W180" t="str">
        <f>IF($P180="是",COUNTIF($P$2:$P180,"是"),"")</f>
        <v/>
      </c>
    </row>
    <row r="181" spans="1:23" ht="55.5">
      <c r="A181" s="2" t="s">
        <v>118</v>
      </c>
      <c r="B181" s="2" t="s">
        <v>617</v>
      </c>
      <c r="C181" s="2" t="s">
        <v>618</v>
      </c>
      <c r="D181" s="2" t="s">
        <v>845</v>
      </c>
      <c r="E181" s="2" t="s">
        <v>846</v>
      </c>
      <c r="F181" s="2" t="s">
        <v>854</v>
      </c>
      <c r="G181" s="2" t="s">
        <v>855</v>
      </c>
      <c r="H181" s="2" t="s">
        <v>27</v>
      </c>
      <c r="I181" s="2" t="s">
        <v>856</v>
      </c>
      <c r="J181" s="2" t="s">
        <v>857</v>
      </c>
      <c r="K181" s="2" t="s">
        <v>858</v>
      </c>
      <c r="L181" s="2"/>
      <c r="M181" s="2"/>
      <c r="N181" s="2" t="str">
        <f t="shared" si="4"/>
        <v/>
      </c>
      <c r="O181" s="2"/>
      <c r="P181" s="2"/>
      <c r="Q181" s="2"/>
      <c r="R181" s="2"/>
      <c r="S181" s="2" t="s">
        <v>128</v>
      </c>
      <c r="T181" s="2"/>
      <c r="U181" s="2"/>
      <c r="V181" s="2" t="str">
        <f t="shared" si="5"/>
        <v/>
      </c>
      <c r="W181" t="str">
        <f>IF($P181="是",COUNTIF($P$2:$P181,"是"),"")</f>
        <v/>
      </c>
    </row>
    <row r="182" spans="1:23" ht="27.75">
      <c r="A182" s="2" t="s">
        <v>118</v>
      </c>
      <c r="B182" s="2" t="s">
        <v>617</v>
      </c>
      <c r="C182" s="2" t="s">
        <v>618</v>
      </c>
      <c r="D182" s="2" t="s">
        <v>845</v>
      </c>
      <c r="E182" s="2" t="s">
        <v>846</v>
      </c>
      <c r="F182" s="2" t="s">
        <v>859</v>
      </c>
      <c r="G182" s="2" t="s">
        <v>860</v>
      </c>
      <c r="H182" s="2" t="s">
        <v>307</v>
      </c>
      <c r="I182" s="2" t="s">
        <v>852</v>
      </c>
      <c r="J182" s="2" t="s">
        <v>861</v>
      </c>
      <c r="K182" s="2" t="s">
        <v>673</v>
      </c>
      <c r="L182" s="2"/>
      <c r="M182" s="2"/>
      <c r="N182" s="2" t="str">
        <f t="shared" si="4"/>
        <v/>
      </c>
      <c r="O182" s="2"/>
      <c r="P182" s="2"/>
      <c r="Q182" s="2"/>
      <c r="R182" s="2"/>
      <c r="S182" s="2" t="s">
        <v>128</v>
      </c>
      <c r="T182" s="2"/>
      <c r="U182" s="2"/>
      <c r="V182" s="2" t="str">
        <f t="shared" si="5"/>
        <v/>
      </c>
      <c r="W182" t="str">
        <f>IF($P182="是",COUNTIF($P$2:$P182,"是"),"")</f>
        <v/>
      </c>
    </row>
    <row r="183" spans="1:23" ht="27.75">
      <c r="A183" s="2" t="s">
        <v>118</v>
      </c>
      <c r="B183" s="2" t="s">
        <v>617</v>
      </c>
      <c r="C183" s="2" t="s">
        <v>618</v>
      </c>
      <c r="D183" s="2" t="s">
        <v>845</v>
      </c>
      <c r="E183" s="2" t="s">
        <v>846</v>
      </c>
      <c r="F183" s="2" t="s">
        <v>862</v>
      </c>
      <c r="G183" s="2" t="s">
        <v>863</v>
      </c>
      <c r="H183" s="2" t="s">
        <v>24</v>
      </c>
      <c r="I183" s="2" t="s">
        <v>783</v>
      </c>
      <c r="J183" s="2" t="s">
        <v>864</v>
      </c>
      <c r="K183" s="2" t="s">
        <v>769</v>
      </c>
      <c r="L183" s="2"/>
      <c r="M183" s="2"/>
      <c r="N183" s="2" t="str">
        <f t="shared" si="4"/>
        <v/>
      </c>
      <c r="O183" s="2"/>
      <c r="P183" s="2"/>
      <c r="Q183" s="2"/>
      <c r="R183" s="2"/>
      <c r="S183" s="2" t="s">
        <v>128</v>
      </c>
      <c r="T183" s="2"/>
      <c r="U183" s="2"/>
      <c r="V183" s="2" t="str">
        <f t="shared" si="5"/>
        <v/>
      </c>
      <c r="W183" t="str">
        <f>IF($P183="是",COUNTIF($P$2:$P183,"是"),"")</f>
        <v/>
      </c>
    </row>
    <row r="184" spans="1:23" ht="27.75">
      <c r="A184" s="2" t="s">
        <v>118</v>
      </c>
      <c r="B184" s="2" t="s">
        <v>617</v>
      </c>
      <c r="C184" s="2" t="s">
        <v>618</v>
      </c>
      <c r="D184" s="2" t="s">
        <v>845</v>
      </c>
      <c r="E184" s="2" t="s">
        <v>846</v>
      </c>
      <c r="F184" s="2" t="s">
        <v>865</v>
      </c>
      <c r="G184" s="2" t="s">
        <v>866</v>
      </c>
      <c r="H184" s="2" t="s">
        <v>307</v>
      </c>
      <c r="I184" s="2" t="s">
        <v>867</v>
      </c>
      <c r="J184" s="2" t="s">
        <v>868</v>
      </c>
      <c r="K184" s="2" t="s">
        <v>673</v>
      </c>
      <c r="L184" s="2"/>
      <c r="M184" s="2"/>
      <c r="N184" s="2" t="str">
        <f t="shared" si="4"/>
        <v/>
      </c>
      <c r="O184" s="2"/>
      <c r="P184" s="2"/>
      <c r="Q184" s="2"/>
      <c r="R184" s="2"/>
      <c r="S184" s="2" t="s">
        <v>128</v>
      </c>
      <c r="T184" s="2"/>
      <c r="U184" s="2"/>
      <c r="V184" s="2" t="str">
        <f t="shared" si="5"/>
        <v/>
      </c>
      <c r="W184" t="str">
        <f>IF($P184="是",COUNTIF($P$2:$P184,"是"),"")</f>
        <v/>
      </c>
    </row>
    <row r="185" spans="1:23" ht="27.75">
      <c r="A185" s="2" t="s">
        <v>118</v>
      </c>
      <c r="B185" s="2" t="s">
        <v>617</v>
      </c>
      <c r="C185" s="2" t="s">
        <v>618</v>
      </c>
      <c r="D185" s="2" t="s">
        <v>845</v>
      </c>
      <c r="E185" s="2" t="s">
        <v>846</v>
      </c>
      <c r="F185" s="2" t="s">
        <v>869</v>
      </c>
      <c r="G185" s="2" t="s">
        <v>870</v>
      </c>
      <c r="H185" s="2" t="s">
        <v>27</v>
      </c>
      <c r="I185" s="2" t="s">
        <v>819</v>
      </c>
      <c r="J185" s="2" t="s">
        <v>871</v>
      </c>
      <c r="K185" s="2" t="s">
        <v>747</v>
      </c>
      <c r="L185" s="2"/>
      <c r="M185" s="2"/>
      <c r="N185" s="2" t="str">
        <f t="shared" si="4"/>
        <v/>
      </c>
      <c r="O185" s="2"/>
      <c r="P185" s="2"/>
      <c r="Q185" s="2"/>
      <c r="R185" s="2"/>
      <c r="S185" s="2" t="s">
        <v>128</v>
      </c>
      <c r="T185" s="2"/>
      <c r="U185" s="2"/>
      <c r="V185" s="2" t="str">
        <f t="shared" si="5"/>
        <v/>
      </c>
      <c r="W185" t="str">
        <f>IF($P185="是",COUNTIF($P$2:$P185,"是"),"")</f>
        <v/>
      </c>
    </row>
    <row r="186" spans="1:23" ht="27.75">
      <c r="A186" s="2" t="s">
        <v>118</v>
      </c>
      <c r="B186" s="2" t="s">
        <v>617</v>
      </c>
      <c r="C186" s="2" t="s">
        <v>618</v>
      </c>
      <c r="D186" s="2" t="s">
        <v>845</v>
      </c>
      <c r="E186" s="2" t="s">
        <v>846</v>
      </c>
      <c r="F186" s="2" t="s">
        <v>872</v>
      </c>
      <c r="G186" s="2" t="s">
        <v>873</v>
      </c>
      <c r="H186" s="2" t="s">
        <v>181</v>
      </c>
      <c r="I186" s="2" t="s">
        <v>874</v>
      </c>
      <c r="J186" s="2" t="s">
        <v>875</v>
      </c>
      <c r="K186" s="2" t="s">
        <v>858</v>
      </c>
      <c r="L186" s="2"/>
      <c r="M186" s="2"/>
      <c r="N186" s="2" t="str">
        <f t="shared" si="4"/>
        <v/>
      </c>
      <c r="O186" s="2"/>
      <c r="P186" s="2"/>
      <c r="Q186" s="2"/>
      <c r="R186" s="2"/>
      <c r="S186" s="2" t="s">
        <v>128</v>
      </c>
      <c r="T186" s="2"/>
      <c r="U186" s="2"/>
      <c r="V186" s="2" t="str">
        <f t="shared" si="5"/>
        <v/>
      </c>
      <c r="W186" t="str">
        <f>IF($P186="是",COUNTIF($P$2:$P186,"是"),"")</f>
        <v/>
      </c>
    </row>
    <row r="187" spans="1:23" ht="27.75">
      <c r="A187" s="2" t="s">
        <v>118</v>
      </c>
      <c r="B187" s="2" t="s">
        <v>617</v>
      </c>
      <c r="C187" s="2" t="s">
        <v>618</v>
      </c>
      <c r="D187" s="2" t="s">
        <v>876</v>
      </c>
      <c r="E187" s="2" t="s">
        <v>877</v>
      </c>
      <c r="F187" s="2" t="s">
        <v>878</v>
      </c>
      <c r="G187" s="2" t="s">
        <v>879</v>
      </c>
      <c r="H187" s="2" t="s">
        <v>24</v>
      </c>
      <c r="I187" s="2" t="s">
        <v>880</v>
      </c>
      <c r="J187" s="2" t="s">
        <v>881</v>
      </c>
      <c r="K187" s="2" t="s">
        <v>639</v>
      </c>
      <c r="L187" s="2"/>
      <c r="M187" s="2"/>
      <c r="N187" s="2" t="str">
        <f t="shared" si="4"/>
        <v/>
      </c>
      <c r="O187" s="2"/>
      <c r="P187" s="2"/>
      <c r="Q187" s="2"/>
      <c r="R187" s="2"/>
      <c r="S187" s="2" t="s">
        <v>128</v>
      </c>
      <c r="T187" s="2"/>
      <c r="U187" s="2"/>
      <c r="V187" s="2" t="str">
        <f t="shared" si="5"/>
        <v/>
      </c>
      <c r="W187" t="str">
        <f>IF($P187="是",COUNTIF($P$2:$P187,"是"),"")</f>
        <v/>
      </c>
    </row>
    <row r="188" spans="1:23" ht="27.75">
      <c r="A188" s="2" t="s">
        <v>118</v>
      </c>
      <c r="B188" s="2" t="s">
        <v>617</v>
      </c>
      <c r="C188" s="2" t="s">
        <v>618</v>
      </c>
      <c r="D188" s="2" t="s">
        <v>876</v>
      </c>
      <c r="E188" s="2" t="s">
        <v>877</v>
      </c>
      <c r="F188" s="2" t="s">
        <v>882</v>
      </c>
      <c r="G188" s="2" t="s">
        <v>883</v>
      </c>
      <c r="H188" s="2" t="s">
        <v>24</v>
      </c>
      <c r="I188" s="2" t="s">
        <v>628</v>
      </c>
      <c r="J188" s="2" t="s">
        <v>884</v>
      </c>
      <c r="K188" s="2" t="s">
        <v>639</v>
      </c>
      <c r="L188" s="2"/>
      <c r="M188" s="2"/>
      <c r="N188" s="2" t="str">
        <f t="shared" si="4"/>
        <v/>
      </c>
      <c r="O188" s="2"/>
      <c r="P188" s="2"/>
      <c r="Q188" s="2"/>
      <c r="R188" s="2"/>
      <c r="S188" s="2" t="s">
        <v>128</v>
      </c>
      <c r="T188" s="2"/>
      <c r="U188" s="2"/>
      <c r="V188" s="2" t="str">
        <f t="shared" si="5"/>
        <v/>
      </c>
      <c r="W188" t="str">
        <f>IF($P188="是",COUNTIF($P$2:$P188,"是"),"")</f>
        <v/>
      </c>
    </row>
    <row r="189" spans="1:23" ht="27.75">
      <c r="A189" s="2" t="s">
        <v>118</v>
      </c>
      <c r="B189" s="2" t="s">
        <v>617</v>
      </c>
      <c r="C189" s="2" t="s">
        <v>618</v>
      </c>
      <c r="D189" s="2" t="s">
        <v>876</v>
      </c>
      <c r="E189" s="2" t="s">
        <v>877</v>
      </c>
      <c r="F189" s="2" t="s">
        <v>885</v>
      </c>
      <c r="G189" s="2" t="s">
        <v>886</v>
      </c>
      <c r="H189" s="2" t="s">
        <v>307</v>
      </c>
      <c r="I189" s="2" t="s">
        <v>775</v>
      </c>
      <c r="J189" s="2" t="s">
        <v>887</v>
      </c>
      <c r="K189" s="2" t="s">
        <v>747</v>
      </c>
      <c r="L189" s="2"/>
      <c r="M189" s="2"/>
      <c r="N189" s="2" t="str">
        <f t="shared" si="4"/>
        <v/>
      </c>
      <c r="O189" s="2"/>
      <c r="P189" s="2"/>
      <c r="Q189" s="2"/>
      <c r="R189" s="2"/>
      <c r="S189" s="2" t="s">
        <v>128</v>
      </c>
      <c r="T189" s="2"/>
      <c r="U189" s="2"/>
      <c r="V189" s="2" t="str">
        <f t="shared" si="5"/>
        <v/>
      </c>
      <c r="W189" t="str">
        <f>IF($P189="是",COUNTIF($P$2:$P189,"是"),"")</f>
        <v/>
      </c>
    </row>
    <row r="190" spans="1:23" ht="27.75">
      <c r="A190" s="2" t="s">
        <v>118</v>
      </c>
      <c r="B190" s="2" t="s">
        <v>617</v>
      </c>
      <c r="C190" s="2" t="s">
        <v>618</v>
      </c>
      <c r="D190" s="2" t="s">
        <v>876</v>
      </c>
      <c r="E190" s="2" t="s">
        <v>877</v>
      </c>
      <c r="F190" s="2" t="s">
        <v>888</v>
      </c>
      <c r="G190" s="2" t="s">
        <v>889</v>
      </c>
      <c r="H190" s="2" t="s">
        <v>27</v>
      </c>
      <c r="I190" s="2" t="s">
        <v>819</v>
      </c>
      <c r="J190" s="2" t="s">
        <v>890</v>
      </c>
      <c r="K190" s="2" t="s">
        <v>747</v>
      </c>
      <c r="L190" s="2"/>
      <c r="M190" s="2"/>
      <c r="N190" s="2" t="str">
        <f t="shared" si="4"/>
        <v/>
      </c>
      <c r="O190" s="2"/>
      <c r="P190" s="2"/>
      <c r="Q190" s="2"/>
      <c r="R190" s="2"/>
      <c r="S190" s="2" t="s">
        <v>128</v>
      </c>
      <c r="T190" s="2"/>
      <c r="U190" s="2"/>
      <c r="V190" s="2" t="str">
        <f t="shared" si="5"/>
        <v/>
      </c>
      <c r="W190" t="str">
        <f>IF($P190="是",COUNTIF($P$2:$P190,"是"),"")</f>
        <v/>
      </c>
    </row>
    <row r="191" spans="1:23" ht="27.75">
      <c r="A191" s="2" t="s">
        <v>118</v>
      </c>
      <c r="B191" s="2" t="s">
        <v>617</v>
      </c>
      <c r="C191" s="2" t="s">
        <v>618</v>
      </c>
      <c r="D191" s="2" t="s">
        <v>876</v>
      </c>
      <c r="E191" s="2" t="s">
        <v>877</v>
      </c>
      <c r="F191" s="2" t="s">
        <v>891</v>
      </c>
      <c r="G191" s="2" t="s">
        <v>892</v>
      </c>
      <c r="H191" s="2" t="s">
        <v>307</v>
      </c>
      <c r="I191" s="2" t="s">
        <v>893</v>
      </c>
      <c r="J191" s="2" t="s">
        <v>894</v>
      </c>
      <c r="K191" s="2" t="s">
        <v>673</v>
      </c>
      <c r="L191" s="2"/>
      <c r="M191" s="2"/>
      <c r="N191" s="2" t="str">
        <f t="shared" si="4"/>
        <v/>
      </c>
      <c r="O191" s="2"/>
      <c r="P191" s="2"/>
      <c r="Q191" s="2"/>
      <c r="R191" s="2"/>
      <c r="S191" s="2" t="s">
        <v>128</v>
      </c>
      <c r="T191" s="2"/>
      <c r="U191" s="2"/>
      <c r="V191" s="2" t="str">
        <f t="shared" si="5"/>
        <v/>
      </c>
      <c r="W191" t="str">
        <f>IF($P191="是",COUNTIF($P$2:$P191,"是"),"")</f>
        <v/>
      </c>
    </row>
    <row r="192" spans="1:23" ht="27.75">
      <c r="A192" s="2" t="s">
        <v>118</v>
      </c>
      <c r="B192" s="2" t="s">
        <v>617</v>
      </c>
      <c r="C192" s="2" t="s">
        <v>618</v>
      </c>
      <c r="D192" s="2" t="s">
        <v>876</v>
      </c>
      <c r="E192" s="2" t="s">
        <v>877</v>
      </c>
      <c r="F192" s="2" t="s">
        <v>895</v>
      </c>
      <c r="G192" s="2" t="s">
        <v>896</v>
      </c>
      <c r="H192" s="2" t="s">
        <v>27</v>
      </c>
      <c r="I192" s="2" t="s">
        <v>819</v>
      </c>
      <c r="J192" s="2" t="s">
        <v>897</v>
      </c>
      <c r="K192" s="2" t="s">
        <v>639</v>
      </c>
      <c r="L192" s="2"/>
      <c r="M192" s="2"/>
      <c r="N192" s="2" t="str">
        <f t="shared" si="4"/>
        <v/>
      </c>
      <c r="O192" s="2"/>
      <c r="P192" s="2"/>
      <c r="Q192" s="2"/>
      <c r="R192" s="2"/>
      <c r="S192" s="2" t="s">
        <v>128</v>
      </c>
      <c r="T192" s="2"/>
      <c r="U192" s="2"/>
      <c r="V192" s="2" t="str">
        <f t="shared" si="5"/>
        <v/>
      </c>
      <c r="W192" t="str">
        <f>IF($P192="是",COUNTIF($P$2:$P192,"是"),"")</f>
        <v/>
      </c>
    </row>
    <row r="193" spans="1:23" ht="27.75">
      <c r="A193" s="2" t="s">
        <v>118</v>
      </c>
      <c r="B193" s="2" t="s">
        <v>617</v>
      </c>
      <c r="C193" s="2" t="s">
        <v>618</v>
      </c>
      <c r="D193" s="2" t="s">
        <v>876</v>
      </c>
      <c r="E193" s="2" t="s">
        <v>877</v>
      </c>
      <c r="F193" s="2" t="s">
        <v>898</v>
      </c>
      <c r="G193" s="2" t="s">
        <v>899</v>
      </c>
      <c r="H193" s="2" t="s">
        <v>214</v>
      </c>
      <c r="I193" s="2" t="s">
        <v>819</v>
      </c>
      <c r="J193" s="2" t="s">
        <v>900</v>
      </c>
      <c r="K193" s="2" t="s">
        <v>769</v>
      </c>
      <c r="L193" s="2"/>
      <c r="M193" s="2"/>
      <c r="N193" s="2" t="str">
        <f t="shared" si="4"/>
        <v/>
      </c>
      <c r="O193" s="2"/>
      <c r="P193" s="2"/>
      <c r="Q193" s="2"/>
      <c r="R193" s="2"/>
      <c r="S193" s="2" t="s">
        <v>128</v>
      </c>
      <c r="T193" s="2"/>
      <c r="U193" s="2"/>
      <c r="V193" s="2" t="str">
        <f t="shared" si="5"/>
        <v/>
      </c>
      <c r="W193" t="str">
        <f>IF($P193="是",COUNTIF($P$2:$P193,"是"),"")</f>
        <v/>
      </c>
    </row>
    <row r="194" spans="1:23" ht="27.75">
      <c r="A194" s="2" t="s">
        <v>118</v>
      </c>
      <c r="B194" s="2" t="s">
        <v>617</v>
      </c>
      <c r="C194" s="2" t="s">
        <v>618</v>
      </c>
      <c r="D194" s="2" t="s">
        <v>876</v>
      </c>
      <c r="E194" s="2" t="s">
        <v>877</v>
      </c>
      <c r="F194" s="2" t="s">
        <v>901</v>
      </c>
      <c r="G194" s="2" t="s">
        <v>902</v>
      </c>
      <c r="H194" s="2" t="s">
        <v>181</v>
      </c>
      <c r="I194" s="2" t="s">
        <v>819</v>
      </c>
      <c r="J194" s="2" t="s">
        <v>903</v>
      </c>
      <c r="K194" s="2" t="s">
        <v>904</v>
      </c>
      <c r="L194" s="2"/>
      <c r="M194" s="2"/>
      <c r="N194" s="2" t="str">
        <f t="shared" ref="N194:N257" si="6">IF(OR(L194="",M194=""),"",MAX(0,M194-L194))</f>
        <v/>
      </c>
      <c r="O194" s="2"/>
      <c r="P194" s="2"/>
      <c r="Q194" s="2"/>
      <c r="R194" s="2"/>
      <c r="S194" s="2" t="s">
        <v>128</v>
      </c>
      <c r="T194" s="2"/>
      <c r="U194" s="2"/>
      <c r="V194" s="2" t="str">
        <f t="shared" ref="V194:V257" si="7">IF(N194="","",IF(N194&gt;=3,"年度重点专项",IF(N194=2,"季度重点补齐",IF(N194=1,"月度常规提升","保持观察/可做分享"))))</f>
        <v/>
      </c>
      <c r="W194" t="str">
        <f>IF($P194="是",COUNTIF($P$2:$P194,"是"),"")</f>
        <v/>
      </c>
    </row>
    <row r="195" spans="1:23" ht="27.75">
      <c r="A195" s="2" t="s">
        <v>905</v>
      </c>
      <c r="B195" s="2" t="s">
        <v>906</v>
      </c>
      <c r="C195" s="2" t="s">
        <v>907</v>
      </c>
      <c r="D195" s="2" t="s">
        <v>908</v>
      </c>
      <c r="E195" s="2" t="s">
        <v>909</v>
      </c>
      <c r="F195" s="2" t="s">
        <v>910</v>
      </c>
      <c r="G195" s="2" t="s">
        <v>911</v>
      </c>
      <c r="H195" s="2" t="s">
        <v>21</v>
      </c>
      <c r="I195" s="2" t="s">
        <v>912</v>
      </c>
      <c r="J195" s="2" t="s">
        <v>913</v>
      </c>
      <c r="K195" s="2" t="s">
        <v>914</v>
      </c>
      <c r="L195" s="2"/>
      <c r="M195" s="2"/>
      <c r="N195" s="2" t="str">
        <f t="shared" si="6"/>
        <v/>
      </c>
      <c r="O195" s="2"/>
      <c r="P195" s="2"/>
      <c r="Q195" s="2"/>
      <c r="R195" s="2"/>
      <c r="S195" s="2" t="s">
        <v>128</v>
      </c>
      <c r="T195" s="2"/>
      <c r="U195" s="2"/>
      <c r="V195" s="2" t="str">
        <f t="shared" si="7"/>
        <v/>
      </c>
      <c r="W195" t="str">
        <f>IF($P195="是",COUNTIF($P$2:$P195,"是"),"")</f>
        <v/>
      </c>
    </row>
    <row r="196" spans="1:23" ht="27.75">
      <c r="A196" s="2" t="s">
        <v>905</v>
      </c>
      <c r="B196" s="2" t="s">
        <v>906</v>
      </c>
      <c r="C196" s="2" t="s">
        <v>907</v>
      </c>
      <c r="D196" s="2" t="s">
        <v>908</v>
      </c>
      <c r="E196" s="2" t="s">
        <v>909</v>
      </c>
      <c r="F196" s="2" t="s">
        <v>915</v>
      </c>
      <c r="G196" s="2" t="s">
        <v>916</v>
      </c>
      <c r="H196" s="2" t="s">
        <v>21</v>
      </c>
      <c r="I196" s="2" t="s">
        <v>917</v>
      </c>
      <c r="J196" s="2" t="s">
        <v>918</v>
      </c>
      <c r="K196" s="2" t="s">
        <v>919</v>
      </c>
      <c r="L196" s="2"/>
      <c r="M196" s="2"/>
      <c r="N196" s="2" t="str">
        <f t="shared" si="6"/>
        <v/>
      </c>
      <c r="O196" s="2"/>
      <c r="P196" s="2"/>
      <c r="Q196" s="2"/>
      <c r="R196" s="2"/>
      <c r="S196" s="2" t="s">
        <v>128</v>
      </c>
      <c r="T196" s="2"/>
      <c r="U196" s="2"/>
      <c r="V196" s="2" t="str">
        <f t="shared" si="7"/>
        <v/>
      </c>
      <c r="W196" t="str">
        <f>IF($P196="是",COUNTIF($P$2:$P196,"是"),"")</f>
        <v/>
      </c>
    </row>
    <row r="197" spans="1:23" ht="27.75">
      <c r="A197" s="2" t="s">
        <v>905</v>
      </c>
      <c r="B197" s="2" t="s">
        <v>906</v>
      </c>
      <c r="C197" s="2" t="s">
        <v>907</v>
      </c>
      <c r="D197" s="2" t="s">
        <v>908</v>
      </c>
      <c r="E197" s="2" t="s">
        <v>909</v>
      </c>
      <c r="F197" s="2" t="s">
        <v>920</v>
      </c>
      <c r="G197" s="2" t="s">
        <v>921</v>
      </c>
      <c r="H197" s="2" t="s">
        <v>168</v>
      </c>
      <c r="I197" s="2" t="s">
        <v>922</v>
      </c>
      <c r="J197" s="2" t="s">
        <v>923</v>
      </c>
      <c r="K197" s="2" t="s">
        <v>914</v>
      </c>
      <c r="L197" s="2"/>
      <c r="M197" s="2"/>
      <c r="N197" s="2" t="str">
        <f t="shared" si="6"/>
        <v/>
      </c>
      <c r="O197" s="2"/>
      <c r="P197" s="2"/>
      <c r="Q197" s="2"/>
      <c r="R197" s="2"/>
      <c r="S197" s="2" t="s">
        <v>128</v>
      </c>
      <c r="T197" s="2"/>
      <c r="U197" s="2"/>
      <c r="V197" s="2" t="str">
        <f t="shared" si="7"/>
        <v/>
      </c>
      <c r="W197" t="str">
        <f>IF($P197="是",COUNTIF($P$2:$P197,"是"),"")</f>
        <v/>
      </c>
    </row>
    <row r="198" spans="1:23" ht="27.75">
      <c r="A198" s="2" t="s">
        <v>905</v>
      </c>
      <c r="B198" s="2" t="s">
        <v>906</v>
      </c>
      <c r="C198" s="2" t="s">
        <v>907</v>
      </c>
      <c r="D198" s="2" t="s">
        <v>908</v>
      </c>
      <c r="E198" s="2" t="s">
        <v>909</v>
      </c>
      <c r="F198" s="2" t="s">
        <v>924</v>
      </c>
      <c r="G198" s="2" t="s">
        <v>925</v>
      </c>
      <c r="H198" s="2" t="s">
        <v>21</v>
      </c>
      <c r="I198" s="2" t="s">
        <v>926</v>
      </c>
      <c r="J198" s="2" t="s">
        <v>927</v>
      </c>
      <c r="K198" s="2" t="s">
        <v>928</v>
      </c>
      <c r="L198" s="2"/>
      <c r="M198" s="2"/>
      <c r="N198" s="2" t="str">
        <f t="shared" si="6"/>
        <v/>
      </c>
      <c r="O198" s="2"/>
      <c r="P198" s="2"/>
      <c r="Q198" s="2"/>
      <c r="R198" s="2"/>
      <c r="S198" s="2" t="s">
        <v>128</v>
      </c>
      <c r="T198" s="2"/>
      <c r="U198" s="2"/>
      <c r="V198" s="2" t="str">
        <f t="shared" si="7"/>
        <v/>
      </c>
      <c r="W198" t="str">
        <f>IF($P198="是",COUNTIF($P$2:$P198,"是"),"")</f>
        <v/>
      </c>
    </row>
    <row r="199" spans="1:23" ht="27.75">
      <c r="A199" s="2" t="s">
        <v>905</v>
      </c>
      <c r="B199" s="2" t="s">
        <v>906</v>
      </c>
      <c r="C199" s="2" t="s">
        <v>907</v>
      </c>
      <c r="D199" s="2" t="s">
        <v>908</v>
      </c>
      <c r="E199" s="2" t="s">
        <v>909</v>
      </c>
      <c r="F199" s="2" t="s">
        <v>929</v>
      </c>
      <c r="G199" s="2" t="s">
        <v>930</v>
      </c>
      <c r="H199" s="2" t="s">
        <v>307</v>
      </c>
      <c r="I199" s="2" t="s">
        <v>931</v>
      </c>
      <c r="J199" s="2" t="s">
        <v>932</v>
      </c>
      <c r="K199" s="2" t="s">
        <v>630</v>
      </c>
      <c r="L199" s="2"/>
      <c r="M199" s="2"/>
      <c r="N199" s="2" t="str">
        <f t="shared" si="6"/>
        <v/>
      </c>
      <c r="O199" s="2"/>
      <c r="P199" s="2"/>
      <c r="Q199" s="2"/>
      <c r="R199" s="2"/>
      <c r="S199" s="2" t="s">
        <v>128</v>
      </c>
      <c r="T199" s="2"/>
      <c r="U199" s="2"/>
      <c r="V199" s="2" t="str">
        <f t="shared" si="7"/>
        <v/>
      </c>
      <c r="W199" t="str">
        <f>IF($P199="是",COUNTIF($P$2:$P199,"是"),"")</f>
        <v/>
      </c>
    </row>
    <row r="200" spans="1:23" ht="27.75">
      <c r="A200" s="2" t="s">
        <v>905</v>
      </c>
      <c r="B200" s="2" t="s">
        <v>906</v>
      </c>
      <c r="C200" s="2" t="s">
        <v>907</v>
      </c>
      <c r="D200" s="2" t="s">
        <v>908</v>
      </c>
      <c r="E200" s="2" t="s">
        <v>909</v>
      </c>
      <c r="F200" s="2" t="s">
        <v>933</v>
      </c>
      <c r="G200" s="2" t="s">
        <v>934</v>
      </c>
      <c r="H200" s="2" t="s">
        <v>513</v>
      </c>
      <c r="I200" s="2" t="s">
        <v>922</v>
      </c>
      <c r="J200" s="2" t="s">
        <v>935</v>
      </c>
      <c r="K200" s="2" t="s">
        <v>644</v>
      </c>
      <c r="L200" s="2"/>
      <c r="M200" s="2"/>
      <c r="N200" s="2" t="str">
        <f t="shared" si="6"/>
        <v/>
      </c>
      <c r="O200" s="2"/>
      <c r="P200" s="2"/>
      <c r="Q200" s="2"/>
      <c r="R200" s="2"/>
      <c r="S200" s="2" t="s">
        <v>128</v>
      </c>
      <c r="T200" s="2"/>
      <c r="U200" s="2"/>
      <c r="V200" s="2" t="str">
        <f t="shared" si="7"/>
        <v/>
      </c>
      <c r="W200" t="str">
        <f>IF($P200="是",COUNTIF($P$2:$P200,"是"),"")</f>
        <v/>
      </c>
    </row>
    <row r="201" spans="1:23" ht="27.75">
      <c r="A201" s="2" t="s">
        <v>905</v>
      </c>
      <c r="B201" s="2" t="s">
        <v>906</v>
      </c>
      <c r="C201" s="2" t="s">
        <v>907</v>
      </c>
      <c r="D201" s="2" t="s">
        <v>936</v>
      </c>
      <c r="E201" s="2" t="s">
        <v>937</v>
      </c>
      <c r="F201" s="2" t="s">
        <v>938</v>
      </c>
      <c r="G201" s="2" t="s">
        <v>939</v>
      </c>
      <c r="H201" s="2" t="s">
        <v>21</v>
      </c>
      <c r="I201" s="2" t="s">
        <v>940</v>
      </c>
      <c r="J201" s="2" t="s">
        <v>941</v>
      </c>
      <c r="K201" s="2" t="s">
        <v>928</v>
      </c>
      <c r="L201" s="2"/>
      <c r="M201" s="2"/>
      <c r="N201" s="2" t="str">
        <f t="shared" si="6"/>
        <v/>
      </c>
      <c r="O201" s="2"/>
      <c r="P201" s="2"/>
      <c r="Q201" s="2"/>
      <c r="R201" s="2"/>
      <c r="S201" s="2" t="s">
        <v>128</v>
      </c>
      <c r="T201" s="2"/>
      <c r="U201" s="2"/>
      <c r="V201" s="2" t="str">
        <f t="shared" si="7"/>
        <v/>
      </c>
      <c r="W201" t="str">
        <f>IF($P201="是",COUNTIF($P$2:$P201,"是"),"")</f>
        <v/>
      </c>
    </row>
    <row r="202" spans="1:23" ht="27.75">
      <c r="A202" s="2" t="s">
        <v>905</v>
      </c>
      <c r="B202" s="2" t="s">
        <v>906</v>
      </c>
      <c r="C202" s="2" t="s">
        <v>907</v>
      </c>
      <c r="D202" s="2" t="s">
        <v>936</v>
      </c>
      <c r="E202" s="2" t="s">
        <v>937</v>
      </c>
      <c r="F202" s="2" t="s">
        <v>942</v>
      </c>
      <c r="G202" s="2" t="s">
        <v>943</v>
      </c>
      <c r="H202" s="2" t="s">
        <v>168</v>
      </c>
      <c r="I202" s="2" t="s">
        <v>944</v>
      </c>
      <c r="J202" s="2" t="s">
        <v>945</v>
      </c>
      <c r="K202" s="2" t="s">
        <v>630</v>
      </c>
      <c r="L202" s="2"/>
      <c r="M202" s="2"/>
      <c r="N202" s="2" t="str">
        <f t="shared" si="6"/>
        <v/>
      </c>
      <c r="O202" s="2"/>
      <c r="P202" s="2"/>
      <c r="Q202" s="2"/>
      <c r="R202" s="2"/>
      <c r="S202" s="2" t="s">
        <v>128</v>
      </c>
      <c r="T202" s="2"/>
      <c r="U202" s="2"/>
      <c r="V202" s="2" t="str">
        <f t="shared" si="7"/>
        <v/>
      </c>
      <c r="W202" t="str">
        <f>IF($P202="是",COUNTIF($P$2:$P202,"是"),"")</f>
        <v/>
      </c>
    </row>
    <row r="203" spans="1:23" ht="27.75">
      <c r="A203" s="2" t="s">
        <v>905</v>
      </c>
      <c r="B203" s="2" t="s">
        <v>906</v>
      </c>
      <c r="C203" s="2" t="s">
        <v>907</v>
      </c>
      <c r="D203" s="2" t="s">
        <v>936</v>
      </c>
      <c r="E203" s="2" t="s">
        <v>937</v>
      </c>
      <c r="F203" s="2" t="s">
        <v>946</v>
      </c>
      <c r="G203" s="2" t="s">
        <v>947</v>
      </c>
      <c r="H203" s="2" t="s">
        <v>24</v>
      </c>
      <c r="I203" s="2" t="s">
        <v>948</v>
      </c>
      <c r="J203" s="2" t="s">
        <v>949</v>
      </c>
      <c r="K203" s="2" t="s">
        <v>630</v>
      </c>
      <c r="L203" s="2"/>
      <c r="M203" s="2"/>
      <c r="N203" s="2" t="str">
        <f t="shared" si="6"/>
        <v/>
      </c>
      <c r="O203" s="2"/>
      <c r="P203" s="2"/>
      <c r="Q203" s="2"/>
      <c r="R203" s="2"/>
      <c r="S203" s="2" t="s">
        <v>128</v>
      </c>
      <c r="T203" s="2"/>
      <c r="U203" s="2"/>
      <c r="V203" s="2" t="str">
        <f t="shared" si="7"/>
        <v/>
      </c>
      <c r="W203" t="str">
        <f>IF($P203="是",COUNTIF($P$2:$P203,"是"),"")</f>
        <v/>
      </c>
    </row>
    <row r="204" spans="1:23" ht="27.75">
      <c r="A204" s="2" t="s">
        <v>905</v>
      </c>
      <c r="B204" s="2" t="s">
        <v>906</v>
      </c>
      <c r="C204" s="2" t="s">
        <v>907</v>
      </c>
      <c r="D204" s="2" t="s">
        <v>936</v>
      </c>
      <c r="E204" s="2" t="s">
        <v>937</v>
      </c>
      <c r="F204" s="2" t="s">
        <v>950</v>
      </c>
      <c r="G204" s="2" t="s">
        <v>951</v>
      </c>
      <c r="H204" s="2" t="s">
        <v>307</v>
      </c>
      <c r="I204" s="2" t="s">
        <v>952</v>
      </c>
      <c r="J204" s="2" t="s">
        <v>953</v>
      </c>
      <c r="K204" s="2" t="s">
        <v>639</v>
      </c>
      <c r="L204" s="2"/>
      <c r="M204" s="2"/>
      <c r="N204" s="2" t="str">
        <f t="shared" si="6"/>
        <v/>
      </c>
      <c r="O204" s="2"/>
      <c r="P204" s="2"/>
      <c r="Q204" s="2"/>
      <c r="R204" s="2"/>
      <c r="S204" s="2" t="s">
        <v>128</v>
      </c>
      <c r="T204" s="2"/>
      <c r="U204" s="2"/>
      <c r="V204" s="2" t="str">
        <f t="shared" si="7"/>
        <v/>
      </c>
      <c r="W204" t="str">
        <f>IF($P204="是",COUNTIF($P$2:$P204,"是"),"")</f>
        <v/>
      </c>
    </row>
    <row r="205" spans="1:23" ht="27.75">
      <c r="A205" s="2" t="s">
        <v>905</v>
      </c>
      <c r="B205" s="2" t="s">
        <v>906</v>
      </c>
      <c r="C205" s="2" t="s">
        <v>907</v>
      </c>
      <c r="D205" s="2" t="s">
        <v>936</v>
      </c>
      <c r="E205" s="2" t="s">
        <v>937</v>
      </c>
      <c r="F205" s="2" t="s">
        <v>954</v>
      </c>
      <c r="G205" s="2" t="s">
        <v>955</v>
      </c>
      <c r="H205" s="2" t="s">
        <v>27</v>
      </c>
      <c r="I205" s="2" t="s">
        <v>956</v>
      </c>
      <c r="J205" s="2" t="s">
        <v>957</v>
      </c>
      <c r="K205" s="2" t="s">
        <v>639</v>
      </c>
      <c r="L205" s="2"/>
      <c r="M205" s="2"/>
      <c r="N205" s="2" t="str">
        <f t="shared" si="6"/>
        <v/>
      </c>
      <c r="O205" s="2"/>
      <c r="P205" s="2"/>
      <c r="Q205" s="2"/>
      <c r="R205" s="2"/>
      <c r="S205" s="2" t="s">
        <v>128</v>
      </c>
      <c r="T205" s="2"/>
      <c r="U205" s="2"/>
      <c r="V205" s="2" t="str">
        <f t="shared" si="7"/>
        <v/>
      </c>
      <c r="W205" t="str">
        <f>IF($P205="是",COUNTIF($P$2:$P205,"是"),"")</f>
        <v/>
      </c>
    </row>
    <row r="206" spans="1:23" ht="27.75">
      <c r="A206" s="2" t="s">
        <v>905</v>
      </c>
      <c r="B206" s="2" t="s">
        <v>906</v>
      </c>
      <c r="C206" s="2" t="s">
        <v>907</v>
      </c>
      <c r="D206" s="2" t="s">
        <v>936</v>
      </c>
      <c r="E206" s="2" t="s">
        <v>937</v>
      </c>
      <c r="F206" s="2" t="s">
        <v>958</v>
      </c>
      <c r="G206" s="2" t="s">
        <v>959</v>
      </c>
      <c r="H206" s="2" t="s">
        <v>181</v>
      </c>
      <c r="I206" s="2" t="s">
        <v>960</v>
      </c>
      <c r="J206" s="2" t="s">
        <v>961</v>
      </c>
      <c r="K206" s="2" t="s">
        <v>655</v>
      </c>
      <c r="L206" s="2"/>
      <c r="M206" s="2"/>
      <c r="N206" s="2" t="str">
        <f t="shared" si="6"/>
        <v/>
      </c>
      <c r="O206" s="2"/>
      <c r="P206" s="2"/>
      <c r="Q206" s="2"/>
      <c r="R206" s="2"/>
      <c r="S206" s="2" t="s">
        <v>128</v>
      </c>
      <c r="T206" s="2"/>
      <c r="U206" s="2"/>
      <c r="V206" s="2" t="str">
        <f t="shared" si="7"/>
        <v/>
      </c>
      <c r="W206" t="str">
        <f>IF($P206="是",COUNTIF($P$2:$P206,"是"),"")</f>
        <v/>
      </c>
    </row>
    <row r="207" spans="1:23" ht="27.75">
      <c r="A207" s="2" t="s">
        <v>905</v>
      </c>
      <c r="B207" s="2" t="s">
        <v>906</v>
      </c>
      <c r="C207" s="2" t="s">
        <v>907</v>
      </c>
      <c r="D207" s="2" t="s">
        <v>962</v>
      </c>
      <c r="E207" s="2" t="s">
        <v>963</v>
      </c>
      <c r="F207" s="2" t="s">
        <v>964</v>
      </c>
      <c r="G207" s="2" t="s">
        <v>965</v>
      </c>
      <c r="H207" s="2" t="s">
        <v>21</v>
      </c>
      <c r="I207" s="2" t="s">
        <v>966</v>
      </c>
      <c r="J207" s="2" t="s">
        <v>967</v>
      </c>
      <c r="K207" s="2" t="s">
        <v>625</v>
      </c>
      <c r="L207" s="2"/>
      <c r="M207" s="2"/>
      <c r="N207" s="2" t="str">
        <f t="shared" si="6"/>
        <v/>
      </c>
      <c r="O207" s="2"/>
      <c r="P207" s="2"/>
      <c r="Q207" s="2"/>
      <c r="R207" s="2"/>
      <c r="S207" s="2" t="s">
        <v>128</v>
      </c>
      <c r="T207" s="2"/>
      <c r="U207" s="2"/>
      <c r="V207" s="2" t="str">
        <f t="shared" si="7"/>
        <v/>
      </c>
      <c r="W207" t="str">
        <f>IF($P207="是",COUNTIF($P$2:$P207,"是"),"")</f>
        <v/>
      </c>
    </row>
    <row r="208" spans="1:23" ht="27.75">
      <c r="A208" s="2" t="s">
        <v>905</v>
      </c>
      <c r="B208" s="2" t="s">
        <v>906</v>
      </c>
      <c r="C208" s="2" t="s">
        <v>907</v>
      </c>
      <c r="D208" s="2" t="s">
        <v>962</v>
      </c>
      <c r="E208" s="2" t="s">
        <v>963</v>
      </c>
      <c r="F208" s="2" t="s">
        <v>968</v>
      </c>
      <c r="G208" s="2" t="s">
        <v>969</v>
      </c>
      <c r="H208" s="2" t="s">
        <v>21</v>
      </c>
      <c r="I208" s="2" t="s">
        <v>966</v>
      </c>
      <c r="J208" s="2" t="s">
        <v>970</v>
      </c>
      <c r="K208" s="2" t="s">
        <v>630</v>
      </c>
      <c r="L208" s="2"/>
      <c r="M208" s="2"/>
      <c r="N208" s="2" t="str">
        <f t="shared" si="6"/>
        <v/>
      </c>
      <c r="O208" s="2"/>
      <c r="P208" s="2"/>
      <c r="Q208" s="2"/>
      <c r="R208" s="2"/>
      <c r="S208" s="2" t="s">
        <v>128</v>
      </c>
      <c r="T208" s="2"/>
      <c r="U208" s="2"/>
      <c r="V208" s="2" t="str">
        <f t="shared" si="7"/>
        <v/>
      </c>
      <c r="W208" t="str">
        <f>IF($P208="是",COUNTIF($P$2:$P208,"是"),"")</f>
        <v/>
      </c>
    </row>
    <row r="209" spans="1:23" ht="27.75">
      <c r="A209" s="2" t="s">
        <v>905</v>
      </c>
      <c r="B209" s="2" t="s">
        <v>906</v>
      </c>
      <c r="C209" s="2" t="s">
        <v>907</v>
      </c>
      <c r="D209" s="2" t="s">
        <v>962</v>
      </c>
      <c r="E209" s="2" t="s">
        <v>963</v>
      </c>
      <c r="F209" s="2" t="s">
        <v>971</v>
      </c>
      <c r="G209" s="2" t="s">
        <v>972</v>
      </c>
      <c r="H209" s="2" t="s">
        <v>168</v>
      </c>
      <c r="I209" s="2" t="s">
        <v>973</v>
      </c>
      <c r="J209" s="2" t="s">
        <v>974</v>
      </c>
      <c r="K209" s="2" t="s">
        <v>630</v>
      </c>
      <c r="L209" s="2"/>
      <c r="M209" s="2"/>
      <c r="N209" s="2" t="str">
        <f t="shared" si="6"/>
        <v/>
      </c>
      <c r="O209" s="2"/>
      <c r="P209" s="2"/>
      <c r="Q209" s="2"/>
      <c r="R209" s="2"/>
      <c r="S209" s="2" t="s">
        <v>128</v>
      </c>
      <c r="T209" s="2"/>
      <c r="U209" s="2"/>
      <c r="V209" s="2" t="str">
        <f t="shared" si="7"/>
        <v/>
      </c>
      <c r="W209" t="str">
        <f>IF($P209="是",COUNTIF($P$2:$P209,"是"),"")</f>
        <v/>
      </c>
    </row>
    <row r="210" spans="1:23" ht="27.75">
      <c r="A210" s="2" t="s">
        <v>905</v>
      </c>
      <c r="B210" s="2" t="s">
        <v>906</v>
      </c>
      <c r="C210" s="2" t="s">
        <v>907</v>
      </c>
      <c r="D210" s="2" t="s">
        <v>962</v>
      </c>
      <c r="E210" s="2" t="s">
        <v>963</v>
      </c>
      <c r="F210" s="2" t="s">
        <v>975</v>
      </c>
      <c r="G210" s="2" t="s">
        <v>976</v>
      </c>
      <c r="H210" s="2" t="s">
        <v>24</v>
      </c>
      <c r="I210" s="2" t="s">
        <v>966</v>
      </c>
      <c r="J210" s="2" t="s">
        <v>977</v>
      </c>
      <c r="K210" s="2" t="s">
        <v>824</v>
      </c>
      <c r="L210" s="2"/>
      <c r="M210" s="2"/>
      <c r="N210" s="2" t="str">
        <f t="shared" si="6"/>
        <v/>
      </c>
      <c r="O210" s="2"/>
      <c r="P210" s="2"/>
      <c r="Q210" s="2"/>
      <c r="R210" s="2"/>
      <c r="S210" s="2" t="s">
        <v>128</v>
      </c>
      <c r="T210" s="2"/>
      <c r="U210" s="2"/>
      <c r="V210" s="2" t="str">
        <f t="shared" si="7"/>
        <v/>
      </c>
      <c r="W210" t="str">
        <f>IF($P210="是",COUNTIF($P$2:$P210,"是"),"")</f>
        <v/>
      </c>
    </row>
    <row r="211" spans="1:23" ht="27.75">
      <c r="A211" s="2" t="s">
        <v>905</v>
      </c>
      <c r="B211" s="2" t="s">
        <v>906</v>
      </c>
      <c r="C211" s="2" t="s">
        <v>907</v>
      </c>
      <c r="D211" s="2" t="s">
        <v>962</v>
      </c>
      <c r="E211" s="2" t="s">
        <v>963</v>
      </c>
      <c r="F211" s="2" t="s">
        <v>978</v>
      </c>
      <c r="G211" s="2" t="s">
        <v>979</v>
      </c>
      <c r="H211" s="2" t="s">
        <v>307</v>
      </c>
      <c r="I211" s="2" t="s">
        <v>980</v>
      </c>
      <c r="J211" s="2" t="s">
        <v>981</v>
      </c>
      <c r="K211" s="2" t="s">
        <v>639</v>
      </c>
      <c r="L211" s="2"/>
      <c r="M211" s="2"/>
      <c r="N211" s="2" t="str">
        <f t="shared" si="6"/>
        <v/>
      </c>
      <c r="O211" s="2"/>
      <c r="P211" s="2"/>
      <c r="Q211" s="2"/>
      <c r="R211" s="2"/>
      <c r="S211" s="2" t="s">
        <v>128</v>
      </c>
      <c r="T211" s="2"/>
      <c r="U211" s="2"/>
      <c r="V211" s="2" t="str">
        <f t="shared" si="7"/>
        <v/>
      </c>
      <c r="W211" t="str">
        <f>IF($P211="是",COUNTIF($P$2:$P211,"是"),"")</f>
        <v/>
      </c>
    </row>
    <row r="212" spans="1:23" ht="27.75">
      <c r="A212" s="2" t="s">
        <v>905</v>
      </c>
      <c r="B212" s="2" t="s">
        <v>906</v>
      </c>
      <c r="C212" s="2" t="s">
        <v>907</v>
      </c>
      <c r="D212" s="2" t="s">
        <v>962</v>
      </c>
      <c r="E212" s="2" t="s">
        <v>963</v>
      </c>
      <c r="F212" s="2" t="s">
        <v>982</v>
      </c>
      <c r="G212" s="2" t="s">
        <v>983</v>
      </c>
      <c r="H212" s="2" t="s">
        <v>513</v>
      </c>
      <c r="I212" s="2" t="s">
        <v>984</v>
      </c>
      <c r="J212" s="2" t="s">
        <v>985</v>
      </c>
      <c r="K212" s="2" t="s">
        <v>769</v>
      </c>
      <c r="L212" s="2"/>
      <c r="M212" s="2"/>
      <c r="N212" s="2" t="str">
        <f t="shared" si="6"/>
        <v/>
      </c>
      <c r="O212" s="2"/>
      <c r="P212" s="2"/>
      <c r="Q212" s="2"/>
      <c r="R212" s="2"/>
      <c r="S212" s="2" t="s">
        <v>128</v>
      </c>
      <c r="T212" s="2"/>
      <c r="U212" s="2"/>
      <c r="V212" s="2" t="str">
        <f t="shared" si="7"/>
        <v/>
      </c>
      <c r="W212" t="str">
        <f>IF($P212="是",COUNTIF($P$2:$P212,"是"),"")</f>
        <v/>
      </c>
    </row>
    <row r="213" spans="1:23" ht="27.75">
      <c r="A213" s="2" t="s">
        <v>905</v>
      </c>
      <c r="B213" s="2" t="s">
        <v>906</v>
      </c>
      <c r="C213" s="2" t="s">
        <v>907</v>
      </c>
      <c r="D213" s="2" t="s">
        <v>986</v>
      </c>
      <c r="E213" s="2" t="s">
        <v>987</v>
      </c>
      <c r="F213" s="2" t="s">
        <v>988</v>
      </c>
      <c r="G213" s="2" t="s">
        <v>989</v>
      </c>
      <c r="H213" s="2" t="s">
        <v>21</v>
      </c>
      <c r="I213" s="2" t="s">
        <v>990</v>
      </c>
      <c r="J213" s="2" t="s">
        <v>991</v>
      </c>
      <c r="K213" s="2" t="s">
        <v>625</v>
      </c>
      <c r="L213" s="2"/>
      <c r="M213" s="2"/>
      <c r="N213" s="2" t="str">
        <f t="shared" si="6"/>
        <v/>
      </c>
      <c r="O213" s="2"/>
      <c r="P213" s="2"/>
      <c r="Q213" s="2"/>
      <c r="R213" s="2"/>
      <c r="S213" s="2" t="s">
        <v>128</v>
      </c>
      <c r="T213" s="2"/>
      <c r="U213" s="2"/>
      <c r="V213" s="2" t="str">
        <f t="shared" si="7"/>
        <v/>
      </c>
      <c r="W213" t="str">
        <f>IF($P213="是",COUNTIF($P$2:$P213,"是"),"")</f>
        <v/>
      </c>
    </row>
    <row r="214" spans="1:23" ht="27.75">
      <c r="A214" s="2" t="s">
        <v>905</v>
      </c>
      <c r="B214" s="2" t="s">
        <v>906</v>
      </c>
      <c r="C214" s="2" t="s">
        <v>907</v>
      </c>
      <c r="D214" s="2" t="s">
        <v>986</v>
      </c>
      <c r="E214" s="2" t="s">
        <v>987</v>
      </c>
      <c r="F214" s="2" t="s">
        <v>992</v>
      </c>
      <c r="G214" s="2" t="s">
        <v>993</v>
      </c>
      <c r="H214" s="2" t="s">
        <v>24</v>
      </c>
      <c r="I214" s="2" t="s">
        <v>994</v>
      </c>
      <c r="J214" s="2" t="s">
        <v>995</v>
      </c>
      <c r="K214" s="2" t="s">
        <v>630</v>
      </c>
      <c r="L214" s="2"/>
      <c r="M214" s="2"/>
      <c r="N214" s="2" t="str">
        <f t="shared" si="6"/>
        <v/>
      </c>
      <c r="O214" s="2"/>
      <c r="P214" s="2"/>
      <c r="Q214" s="2"/>
      <c r="R214" s="2"/>
      <c r="S214" s="2" t="s">
        <v>128</v>
      </c>
      <c r="T214" s="2"/>
      <c r="U214" s="2"/>
      <c r="V214" s="2" t="str">
        <f t="shared" si="7"/>
        <v/>
      </c>
      <c r="W214" t="str">
        <f>IF($P214="是",COUNTIF($P$2:$P214,"是"),"")</f>
        <v/>
      </c>
    </row>
    <row r="215" spans="1:23" ht="27.75">
      <c r="A215" s="2" t="s">
        <v>905</v>
      </c>
      <c r="B215" s="2" t="s">
        <v>906</v>
      </c>
      <c r="C215" s="2" t="s">
        <v>907</v>
      </c>
      <c r="D215" s="2" t="s">
        <v>986</v>
      </c>
      <c r="E215" s="2" t="s">
        <v>987</v>
      </c>
      <c r="F215" s="2" t="s">
        <v>996</v>
      </c>
      <c r="G215" s="2" t="s">
        <v>997</v>
      </c>
      <c r="H215" s="2" t="s">
        <v>307</v>
      </c>
      <c r="I215" s="2" t="s">
        <v>998</v>
      </c>
      <c r="J215" s="2" t="s">
        <v>999</v>
      </c>
      <c r="K215" s="2" t="s">
        <v>644</v>
      </c>
      <c r="L215" s="2"/>
      <c r="M215" s="2"/>
      <c r="N215" s="2" t="str">
        <f t="shared" si="6"/>
        <v/>
      </c>
      <c r="O215" s="2"/>
      <c r="P215" s="2"/>
      <c r="Q215" s="2"/>
      <c r="R215" s="2"/>
      <c r="S215" s="2" t="s">
        <v>128</v>
      </c>
      <c r="T215" s="2"/>
      <c r="U215" s="2"/>
      <c r="V215" s="2" t="str">
        <f t="shared" si="7"/>
        <v/>
      </c>
      <c r="W215" t="str">
        <f>IF($P215="是",COUNTIF($P$2:$P215,"是"),"")</f>
        <v/>
      </c>
    </row>
    <row r="216" spans="1:23" ht="27.75">
      <c r="A216" s="2" t="s">
        <v>905</v>
      </c>
      <c r="B216" s="2" t="s">
        <v>906</v>
      </c>
      <c r="C216" s="2" t="s">
        <v>907</v>
      </c>
      <c r="D216" s="2" t="s">
        <v>986</v>
      </c>
      <c r="E216" s="2" t="s">
        <v>987</v>
      </c>
      <c r="F216" s="2" t="s">
        <v>1000</v>
      </c>
      <c r="G216" s="2" t="s">
        <v>1001</v>
      </c>
      <c r="H216" s="2" t="s">
        <v>27</v>
      </c>
      <c r="I216" s="2" t="s">
        <v>1002</v>
      </c>
      <c r="J216" s="2" t="s">
        <v>1003</v>
      </c>
      <c r="K216" s="2" t="s">
        <v>639</v>
      </c>
      <c r="L216" s="2"/>
      <c r="M216" s="2"/>
      <c r="N216" s="2" t="str">
        <f t="shared" si="6"/>
        <v/>
      </c>
      <c r="O216" s="2"/>
      <c r="P216" s="2"/>
      <c r="Q216" s="2"/>
      <c r="R216" s="2"/>
      <c r="S216" s="2" t="s">
        <v>128</v>
      </c>
      <c r="T216" s="2"/>
      <c r="U216" s="2"/>
      <c r="V216" s="2" t="str">
        <f t="shared" si="7"/>
        <v/>
      </c>
      <c r="W216" t="str">
        <f>IF($P216="是",COUNTIF($P$2:$P216,"是"),"")</f>
        <v/>
      </c>
    </row>
    <row r="217" spans="1:23" ht="27.75">
      <c r="A217" s="2" t="s">
        <v>905</v>
      </c>
      <c r="B217" s="2" t="s">
        <v>906</v>
      </c>
      <c r="C217" s="2" t="s">
        <v>907</v>
      </c>
      <c r="D217" s="2" t="s">
        <v>986</v>
      </c>
      <c r="E217" s="2" t="s">
        <v>987</v>
      </c>
      <c r="F217" s="2" t="s">
        <v>1004</v>
      </c>
      <c r="G217" s="2" t="s">
        <v>1005</v>
      </c>
      <c r="H217" s="2" t="s">
        <v>214</v>
      </c>
      <c r="I217" s="2" t="s">
        <v>1006</v>
      </c>
      <c r="J217" s="2" t="s">
        <v>1007</v>
      </c>
      <c r="K217" s="2" t="s">
        <v>673</v>
      </c>
      <c r="L217" s="2"/>
      <c r="M217" s="2"/>
      <c r="N217" s="2" t="str">
        <f t="shared" si="6"/>
        <v/>
      </c>
      <c r="O217" s="2"/>
      <c r="P217" s="2"/>
      <c r="Q217" s="2"/>
      <c r="R217" s="2"/>
      <c r="S217" s="2" t="s">
        <v>128</v>
      </c>
      <c r="T217" s="2"/>
      <c r="U217" s="2"/>
      <c r="V217" s="2" t="str">
        <f t="shared" si="7"/>
        <v/>
      </c>
      <c r="W217" t="str">
        <f>IF($P217="是",COUNTIF($P$2:$P217,"是"),"")</f>
        <v/>
      </c>
    </row>
    <row r="218" spans="1:23" ht="27.75">
      <c r="A218" s="2" t="s">
        <v>905</v>
      </c>
      <c r="B218" s="2" t="s">
        <v>906</v>
      </c>
      <c r="C218" s="2" t="s">
        <v>907</v>
      </c>
      <c r="D218" s="2" t="s">
        <v>986</v>
      </c>
      <c r="E218" s="2" t="s">
        <v>987</v>
      </c>
      <c r="F218" s="2" t="s">
        <v>1008</v>
      </c>
      <c r="G218" s="2" t="s">
        <v>1009</v>
      </c>
      <c r="H218" s="2" t="s">
        <v>181</v>
      </c>
      <c r="I218" s="2" t="s">
        <v>1010</v>
      </c>
      <c r="J218" s="2" t="s">
        <v>1011</v>
      </c>
      <c r="K218" s="2" t="s">
        <v>747</v>
      </c>
      <c r="L218" s="2"/>
      <c r="M218" s="2"/>
      <c r="N218" s="2" t="str">
        <f t="shared" si="6"/>
        <v/>
      </c>
      <c r="O218" s="2"/>
      <c r="P218" s="2"/>
      <c r="Q218" s="2"/>
      <c r="R218" s="2"/>
      <c r="S218" s="2" t="s">
        <v>128</v>
      </c>
      <c r="T218" s="2"/>
      <c r="U218" s="2"/>
      <c r="V218" s="2" t="str">
        <f t="shared" si="7"/>
        <v/>
      </c>
      <c r="W218" t="str">
        <f>IF($P218="是",COUNTIF($P$2:$P218,"是"),"")</f>
        <v/>
      </c>
    </row>
    <row r="219" spans="1:23" ht="27.75">
      <c r="A219" s="2" t="s">
        <v>905</v>
      </c>
      <c r="B219" s="2" t="s">
        <v>906</v>
      </c>
      <c r="C219" s="2" t="s">
        <v>907</v>
      </c>
      <c r="D219" s="2" t="s">
        <v>1012</v>
      </c>
      <c r="E219" s="2" t="s">
        <v>1013</v>
      </c>
      <c r="F219" s="2" t="s">
        <v>1014</v>
      </c>
      <c r="G219" s="2" t="s">
        <v>1015</v>
      </c>
      <c r="H219" s="2" t="s">
        <v>21</v>
      </c>
      <c r="I219" s="2" t="s">
        <v>1016</v>
      </c>
      <c r="J219" s="2" t="s">
        <v>1017</v>
      </c>
      <c r="K219" s="2" t="s">
        <v>928</v>
      </c>
      <c r="L219" s="2"/>
      <c r="M219" s="2"/>
      <c r="N219" s="2" t="str">
        <f t="shared" si="6"/>
        <v/>
      </c>
      <c r="O219" s="2"/>
      <c r="P219" s="2"/>
      <c r="Q219" s="2"/>
      <c r="R219" s="2"/>
      <c r="S219" s="2" t="s">
        <v>128</v>
      </c>
      <c r="T219" s="2"/>
      <c r="U219" s="2"/>
      <c r="V219" s="2" t="str">
        <f t="shared" si="7"/>
        <v/>
      </c>
      <c r="W219" t="str">
        <f>IF($P219="是",COUNTIF($P$2:$P219,"是"),"")</f>
        <v/>
      </c>
    </row>
    <row r="220" spans="1:23" ht="27.75">
      <c r="A220" s="2" t="s">
        <v>905</v>
      </c>
      <c r="B220" s="2" t="s">
        <v>906</v>
      </c>
      <c r="C220" s="2" t="s">
        <v>907</v>
      </c>
      <c r="D220" s="2" t="s">
        <v>1012</v>
      </c>
      <c r="E220" s="2" t="s">
        <v>1013</v>
      </c>
      <c r="F220" s="2" t="s">
        <v>1018</v>
      </c>
      <c r="G220" s="2" t="s">
        <v>1019</v>
      </c>
      <c r="H220" s="2" t="s">
        <v>168</v>
      </c>
      <c r="I220" s="2" t="s">
        <v>1020</v>
      </c>
      <c r="J220" s="2" t="s">
        <v>1021</v>
      </c>
      <c r="K220" s="2" t="s">
        <v>625</v>
      </c>
      <c r="L220" s="2"/>
      <c r="M220" s="2"/>
      <c r="N220" s="2" t="str">
        <f t="shared" si="6"/>
        <v/>
      </c>
      <c r="O220" s="2"/>
      <c r="P220" s="2"/>
      <c r="Q220" s="2"/>
      <c r="R220" s="2"/>
      <c r="S220" s="2" t="s">
        <v>128</v>
      </c>
      <c r="T220" s="2"/>
      <c r="U220" s="2"/>
      <c r="V220" s="2" t="str">
        <f t="shared" si="7"/>
        <v/>
      </c>
      <c r="W220" t="str">
        <f>IF($P220="是",COUNTIF($P$2:$P220,"是"),"")</f>
        <v/>
      </c>
    </row>
    <row r="221" spans="1:23" ht="27.75">
      <c r="A221" s="2" t="s">
        <v>905</v>
      </c>
      <c r="B221" s="2" t="s">
        <v>906</v>
      </c>
      <c r="C221" s="2" t="s">
        <v>907</v>
      </c>
      <c r="D221" s="2" t="s">
        <v>1012</v>
      </c>
      <c r="E221" s="2" t="s">
        <v>1013</v>
      </c>
      <c r="F221" s="2" t="s">
        <v>1022</v>
      </c>
      <c r="G221" s="2" t="s">
        <v>1023</v>
      </c>
      <c r="H221" s="2" t="s">
        <v>307</v>
      </c>
      <c r="I221" s="2" t="s">
        <v>1020</v>
      </c>
      <c r="J221" s="2" t="s">
        <v>1024</v>
      </c>
      <c r="K221" s="2" t="s">
        <v>644</v>
      </c>
      <c r="L221" s="2"/>
      <c r="M221" s="2"/>
      <c r="N221" s="2" t="str">
        <f t="shared" si="6"/>
        <v/>
      </c>
      <c r="O221" s="2"/>
      <c r="P221" s="2"/>
      <c r="Q221" s="2"/>
      <c r="R221" s="2"/>
      <c r="S221" s="2" t="s">
        <v>128</v>
      </c>
      <c r="T221" s="2"/>
      <c r="U221" s="2"/>
      <c r="V221" s="2" t="str">
        <f t="shared" si="7"/>
        <v/>
      </c>
      <c r="W221" t="str">
        <f>IF($P221="是",COUNTIF($P$2:$P221,"是"),"")</f>
        <v/>
      </c>
    </row>
    <row r="222" spans="1:23" ht="13.9">
      <c r="A222" s="2" t="s">
        <v>905</v>
      </c>
      <c r="B222" s="2" t="s">
        <v>906</v>
      </c>
      <c r="C222" s="2" t="s">
        <v>907</v>
      </c>
      <c r="D222" s="2" t="s">
        <v>1012</v>
      </c>
      <c r="E222" s="2" t="s">
        <v>1013</v>
      </c>
      <c r="F222" s="2" t="s">
        <v>1025</v>
      </c>
      <c r="G222" s="2" t="s">
        <v>1026</v>
      </c>
      <c r="H222" s="2" t="s">
        <v>27</v>
      </c>
      <c r="I222" s="2" t="s">
        <v>1020</v>
      </c>
      <c r="J222" s="2" t="s">
        <v>1027</v>
      </c>
      <c r="K222" s="2" t="s">
        <v>639</v>
      </c>
      <c r="L222" s="2"/>
      <c r="M222" s="2"/>
      <c r="N222" s="2" t="str">
        <f t="shared" si="6"/>
        <v/>
      </c>
      <c r="O222" s="2"/>
      <c r="P222" s="2"/>
      <c r="Q222" s="2"/>
      <c r="R222" s="2"/>
      <c r="S222" s="2" t="s">
        <v>128</v>
      </c>
      <c r="T222" s="2"/>
      <c r="U222" s="2"/>
      <c r="V222" s="2" t="str">
        <f t="shared" si="7"/>
        <v/>
      </c>
      <c r="W222" t="str">
        <f>IF($P222="是",COUNTIF($P$2:$P222,"是"),"")</f>
        <v/>
      </c>
    </row>
    <row r="223" spans="1:23" ht="27.75">
      <c r="A223" s="2" t="s">
        <v>905</v>
      </c>
      <c r="B223" s="2" t="s">
        <v>906</v>
      </c>
      <c r="C223" s="2" t="s">
        <v>907</v>
      </c>
      <c r="D223" s="2" t="s">
        <v>1012</v>
      </c>
      <c r="E223" s="2" t="s">
        <v>1013</v>
      </c>
      <c r="F223" s="2" t="s">
        <v>1028</v>
      </c>
      <c r="G223" s="2" t="s">
        <v>1029</v>
      </c>
      <c r="H223" s="2" t="s">
        <v>307</v>
      </c>
      <c r="I223" s="2" t="s">
        <v>1020</v>
      </c>
      <c r="J223" s="2" t="s">
        <v>1030</v>
      </c>
      <c r="K223" s="2" t="s">
        <v>824</v>
      </c>
      <c r="L223" s="2"/>
      <c r="M223" s="2"/>
      <c r="N223" s="2" t="str">
        <f t="shared" si="6"/>
        <v/>
      </c>
      <c r="O223" s="2"/>
      <c r="P223" s="2"/>
      <c r="Q223" s="2"/>
      <c r="R223" s="2"/>
      <c r="S223" s="2" t="s">
        <v>128</v>
      </c>
      <c r="T223" s="2"/>
      <c r="U223" s="2"/>
      <c r="V223" s="2" t="str">
        <f t="shared" si="7"/>
        <v/>
      </c>
      <c r="W223" t="str">
        <f>IF($P223="是",COUNTIF($P$2:$P223,"是"),"")</f>
        <v/>
      </c>
    </row>
    <row r="224" spans="1:23" ht="27.75">
      <c r="A224" s="2" t="s">
        <v>905</v>
      </c>
      <c r="B224" s="2" t="s">
        <v>906</v>
      </c>
      <c r="C224" s="2" t="s">
        <v>907</v>
      </c>
      <c r="D224" s="2" t="s">
        <v>1012</v>
      </c>
      <c r="E224" s="2" t="s">
        <v>1013</v>
      </c>
      <c r="F224" s="2" t="s">
        <v>1031</v>
      </c>
      <c r="G224" s="2" t="s">
        <v>1032</v>
      </c>
      <c r="H224" s="2" t="s">
        <v>181</v>
      </c>
      <c r="I224" s="2" t="s">
        <v>1033</v>
      </c>
      <c r="J224" s="2" t="s">
        <v>1034</v>
      </c>
      <c r="K224" s="2" t="s">
        <v>660</v>
      </c>
      <c r="L224" s="2"/>
      <c r="M224" s="2"/>
      <c r="N224" s="2" t="str">
        <f t="shared" si="6"/>
        <v/>
      </c>
      <c r="O224" s="2"/>
      <c r="P224" s="2"/>
      <c r="Q224" s="2"/>
      <c r="R224" s="2"/>
      <c r="S224" s="2" t="s">
        <v>128</v>
      </c>
      <c r="T224" s="2"/>
      <c r="U224" s="2"/>
      <c r="V224" s="2" t="str">
        <f t="shared" si="7"/>
        <v/>
      </c>
      <c r="W224" t="str">
        <f>IF($P224="是",COUNTIF($P$2:$P224,"是"),"")</f>
        <v/>
      </c>
    </row>
    <row r="225" spans="1:23" ht="27.75">
      <c r="A225" s="2" t="s">
        <v>905</v>
      </c>
      <c r="B225" s="2" t="s">
        <v>906</v>
      </c>
      <c r="C225" s="2" t="s">
        <v>907</v>
      </c>
      <c r="D225" s="2" t="s">
        <v>1035</v>
      </c>
      <c r="E225" s="2" t="s">
        <v>1036</v>
      </c>
      <c r="F225" s="2" t="s">
        <v>1037</v>
      </c>
      <c r="G225" s="2" t="s">
        <v>1038</v>
      </c>
      <c r="H225" s="2" t="s">
        <v>21</v>
      </c>
      <c r="I225" s="2" t="s">
        <v>1039</v>
      </c>
      <c r="J225" s="2" t="s">
        <v>1040</v>
      </c>
      <c r="K225" s="2" t="s">
        <v>625</v>
      </c>
      <c r="L225" s="2"/>
      <c r="M225" s="2"/>
      <c r="N225" s="2" t="str">
        <f t="shared" si="6"/>
        <v/>
      </c>
      <c r="O225" s="2"/>
      <c r="P225" s="2"/>
      <c r="Q225" s="2"/>
      <c r="R225" s="2"/>
      <c r="S225" s="2" t="s">
        <v>128</v>
      </c>
      <c r="T225" s="2"/>
      <c r="U225" s="2"/>
      <c r="V225" s="2" t="str">
        <f t="shared" si="7"/>
        <v/>
      </c>
      <c r="W225" t="str">
        <f>IF($P225="是",COUNTIF($P$2:$P225,"是"),"")</f>
        <v/>
      </c>
    </row>
    <row r="226" spans="1:23" ht="27.75">
      <c r="A226" s="2" t="s">
        <v>905</v>
      </c>
      <c r="B226" s="2" t="s">
        <v>906</v>
      </c>
      <c r="C226" s="2" t="s">
        <v>907</v>
      </c>
      <c r="D226" s="2" t="s">
        <v>1035</v>
      </c>
      <c r="E226" s="2" t="s">
        <v>1036</v>
      </c>
      <c r="F226" s="2" t="s">
        <v>1041</v>
      </c>
      <c r="G226" s="2" t="s">
        <v>1042</v>
      </c>
      <c r="H226" s="2" t="s">
        <v>21</v>
      </c>
      <c r="I226" s="2" t="s">
        <v>1043</v>
      </c>
      <c r="J226" s="2" t="s">
        <v>1044</v>
      </c>
      <c r="K226" s="2" t="s">
        <v>625</v>
      </c>
      <c r="L226" s="2"/>
      <c r="M226" s="2"/>
      <c r="N226" s="2" t="str">
        <f t="shared" si="6"/>
        <v/>
      </c>
      <c r="O226" s="2"/>
      <c r="P226" s="2"/>
      <c r="Q226" s="2"/>
      <c r="R226" s="2"/>
      <c r="S226" s="2" t="s">
        <v>128</v>
      </c>
      <c r="T226" s="2"/>
      <c r="U226" s="2"/>
      <c r="V226" s="2" t="str">
        <f t="shared" si="7"/>
        <v/>
      </c>
      <c r="W226" t="str">
        <f>IF($P226="是",COUNTIF($P$2:$P226,"是"),"")</f>
        <v/>
      </c>
    </row>
    <row r="227" spans="1:23" ht="27.75">
      <c r="A227" s="2" t="s">
        <v>905</v>
      </c>
      <c r="B227" s="2" t="s">
        <v>906</v>
      </c>
      <c r="C227" s="2" t="s">
        <v>907</v>
      </c>
      <c r="D227" s="2" t="s">
        <v>1035</v>
      </c>
      <c r="E227" s="2" t="s">
        <v>1036</v>
      </c>
      <c r="F227" s="2" t="s">
        <v>1045</v>
      </c>
      <c r="G227" s="2" t="s">
        <v>1046</v>
      </c>
      <c r="H227" s="2" t="s">
        <v>24</v>
      </c>
      <c r="I227" s="2" t="s">
        <v>1047</v>
      </c>
      <c r="J227" s="2" t="s">
        <v>1048</v>
      </c>
      <c r="K227" s="2" t="s">
        <v>639</v>
      </c>
      <c r="L227" s="2"/>
      <c r="M227" s="2"/>
      <c r="N227" s="2" t="str">
        <f t="shared" si="6"/>
        <v/>
      </c>
      <c r="O227" s="2"/>
      <c r="P227" s="2"/>
      <c r="Q227" s="2"/>
      <c r="R227" s="2"/>
      <c r="S227" s="2" t="s">
        <v>128</v>
      </c>
      <c r="T227" s="2"/>
      <c r="U227" s="2"/>
      <c r="V227" s="2" t="str">
        <f t="shared" si="7"/>
        <v/>
      </c>
      <c r="W227" t="str">
        <f>IF($P227="是",COUNTIF($P$2:$P227,"是"),"")</f>
        <v/>
      </c>
    </row>
    <row r="228" spans="1:23" ht="27.75">
      <c r="A228" s="2" t="s">
        <v>905</v>
      </c>
      <c r="B228" s="2" t="s">
        <v>906</v>
      </c>
      <c r="C228" s="2" t="s">
        <v>907</v>
      </c>
      <c r="D228" s="2" t="s">
        <v>1035</v>
      </c>
      <c r="E228" s="2" t="s">
        <v>1036</v>
      </c>
      <c r="F228" s="2" t="s">
        <v>1049</v>
      </c>
      <c r="G228" s="2" t="s">
        <v>1050</v>
      </c>
      <c r="H228" s="2" t="s">
        <v>307</v>
      </c>
      <c r="I228" s="2" t="s">
        <v>1051</v>
      </c>
      <c r="J228" s="2" t="s">
        <v>1052</v>
      </c>
      <c r="K228" s="2" t="s">
        <v>639</v>
      </c>
      <c r="L228" s="2"/>
      <c r="M228" s="2"/>
      <c r="N228" s="2" t="str">
        <f t="shared" si="6"/>
        <v/>
      </c>
      <c r="O228" s="2"/>
      <c r="P228" s="2"/>
      <c r="Q228" s="2"/>
      <c r="R228" s="2"/>
      <c r="S228" s="2" t="s">
        <v>128</v>
      </c>
      <c r="T228" s="2"/>
      <c r="U228" s="2"/>
      <c r="V228" s="2" t="str">
        <f t="shared" si="7"/>
        <v/>
      </c>
      <c r="W228" t="str">
        <f>IF($P228="是",COUNTIF($P$2:$P228,"是"),"")</f>
        <v/>
      </c>
    </row>
    <row r="229" spans="1:23" ht="27.75">
      <c r="A229" s="2" t="s">
        <v>905</v>
      </c>
      <c r="B229" s="2" t="s">
        <v>906</v>
      </c>
      <c r="C229" s="2" t="s">
        <v>907</v>
      </c>
      <c r="D229" s="2" t="s">
        <v>1035</v>
      </c>
      <c r="E229" s="2" t="s">
        <v>1036</v>
      </c>
      <c r="F229" s="2" t="s">
        <v>1053</v>
      </c>
      <c r="G229" s="2" t="s">
        <v>1054</v>
      </c>
      <c r="H229" s="2" t="s">
        <v>214</v>
      </c>
      <c r="I229" s="2" t="s">
        <v>1055</v>
      </c>
      <c r="J229" s="2" t="s">
        <v>1056</v>
      </c>
      <c r="K229" s="2" t="s">
        <v>639</v>
      </c>
      <c r="L229" s="2"/>
      <c r="M229" s="2"/>
      <c r="N229" s="2" t="str">
        <f t="shared" si="6"/>
        <v/>
      </c>
      <c r="O229" s="2"/>
      <c r="P229" s="2"/>
      <c r="Q229" s="2"/>
      <c r="R229" s="2"/>
      <c r="S229" s="2" t="s">
        <v>128</v>
      </c>
      <c r="T229" s="2"/>
      <c r="U229" s="2"/>
      <c r="V229" s="2" t="str">
        <f t="shared" si="7"/>
        <v/>
      </c>
      <c r="W229" t="str">
        <f>IF($P229="是",COUNTIF($P$2:$P229,"是"),"")</f>
        <v/>
      </c>
    </row>
    <row r="230" spans="1:23" ht="13.9">
      <c r="A230" s="2" t="s">
        <v>905</v>
      </c>
      <c r="B230" s="2" t="s">
        <v>906</v>
      </c>
      <c r="C230" s="2" t="s">
        <v>907</v>
      </c>
      <c r="D230" s="2" t="s">
        <v>1035</v>
      </c>
      <c r="E230" s="2" t="s">
        <v>1036</v>
      </c>
      <c r="F230" s="2" t="s">
        <v>1057</v>
      </c>
      <c r="G230" s="2" t="s">
        <v>1058</v>
      </c>
      <c r="H230" s="2" t="s">
        <v>181</v>
      </c>
      <c r="I230" s="2" t="s">
        <v>1059</v>
      </c>
      <c r="J230" s="2" t="s">
        <v>1060</v>
      </c>
      <c r="K230" s="2" t="s">
        <v>660</v>
      </c>
      <c r="L230" s="2"/>
      <c r="M230" s="2"/>
      <c r="N230" s="2" t="str">
        <f t="shared" si="6"/>
        <v/>
      </c>
      <c r="O230" s="2"/>
      <c r="P230" s="2"/>
      <c r="Q230" s="2"/>
      <c r="R230" s="2"/>
      <c r="S230" s="2" t="s">
        <v>128</v>
      </c>
      <c r="T230" s="2"/>
      <c r="U230" s="2"/>
      <c r="V230" s="2" t="str">
        <f t="shared" si="7"/>
        <v/>
      </c>
      <c r="W230" t="str">
        <f>IF($P230="是",COUNTIF($P$2:$P230,"是"),"")</f>
        <v/>
      </c>
    </row>
    <row r="231" spans="1:23" ht="27.75">
      <c r="A231" s="2" t="s">
        <v>905</v>
      </c>
      <c r="B231" s="2" t="s">
        <v>906</v>
      </c>
      <c r="C231" s="2" t="s">
        <v>907</v>
      </c>
      <c r="D231" s="2" t="s">
        <v>1061</v>
      </c>
      <c r="E231" s="2" t="s">
        <v>1062</v>
      </c>
      <c r="F231" s="2" t="s">
        <v>1063</v>
      </c>
      <c r="G231" s="2" t="s">
        <v>1064</v>
      </c>
      <c r="H231" s="2" t="s">
        <v>21</v>
      </c>
      <c r="I231" s="2" t="s">
        <v>1065</v>
      </c>
      <c r="J231" s="2" t="s">
        <v>1066</v>
      </c>
      <c r="K231" s="2" t="s">
        <v>928</v>
      </c>
      <c r="L231" s="2"/>
      <c r="M231" s="2"/>
      <c r="N231" s="2" t="str">
        <f t="shared" si="6"/>
        <v/>
      </c>
      <c r="O231" s="2"/>
      <c r="P231" s="2"/>
      <c r="Q231" s="2"/>
      <c r="R231" s="2"/>
      <c r="S231" s="2" t="s">
        <v>128</v>
      </c>
      <c r="T231" s="2"/>
      <c r="U231" s="2"/>
      <c r="V231" s="2" t="str">
        <f t="shared" si="7"/>
        <v/>
      </c>
      <c r="W231" t="str">
        <f>IF($P231="是",COUNTIF($P$2:$P231,"是"),"")</f>
        <v/>
      </c>
    </row>
    <row r="232" spans="1:23" ht="27.75">
      <c r="A232" s="2" t="s">
        <v>905</v>
      </c>
      <c r="B232" s="2" t="s">
        <v>906</v>
      </c>
      <c r="C232" s="2" t="s">
        <v>907</v>
      </c>
      <c r="D232" s="2" t="s">
        <v>1061</v>
      </c>
      <c r="E232" s="2" t="s">
        <v>1062</v>
      </c>
      <c r="F232" s="2" t="s">
        <v>1067</v>
      </c>
      <c r="G232" s="2" t="s">
        <v>1068</v>
      </c>
      <c r="H232" s="2" t="s">
        <v>21</v>
      </c>
      <c r="I232" s="2" t="s">
        <v>1065</v>
      </c>
      <c r="J232" s="2" t="s">
        <v>1069</v>
      </c>
      <c r="K232" s="2" t="s">
        <v>625</v>
      </c>
      <c r="L232" s="2"/>
      <c r="M232" s="2"/>
      <c r="N232" s="2" t="str">
        <f t="shared" si="6"/>
        <v/>
      </c>
      <c r="O232" s="2"/>
      <c r="P232" s="2"/>
      <c r="Q232" s="2"/>
      <c r="R232" s="2"/>
      <c r="S232" s="2" t="s">
        <v>128</v>
      </c>
      <c r="T232" s="2"/>
      <c r="U232" s="2"/>
      <c r="V232" s="2" t="str">
        <f t="shared" si="7"/>
        <v/>
      </c>
      <c r="W232" t="str">
        <f>IF($P232="是",COUNTIF($P$2:$P232,"是"),"")</f>
        <v/>
      </c>
    </row>
    <row r="233" spans="1:23" ht="27.75">
      <c r="A233" s="2" t="s">
        <v>905</v>
      </c>
      <c r="B233" s="2" t="s">
        <v>906</v>
      </c>
      <c r="C233" s="2" t="s">
        <v>907</v>
      </c>
      <c r="D233" s="2" t="s">
        <v>1061</v>
      </c>
      <c r="E233" s="2" t="s">
        <v>1062</v>
      </c>
      <c r="F233" s="2" t="s">
        <v>1070</v>
      </c>
      <c r="G233" s="2" t="s">
        <v>1071</v>
      </c>
      <c r="H233" s="2" t="s">
        <v>168</v>
      </c>
      <c r="I233" s="2" t="s">
        <v>1072</v>
      </c>
      <c r="J233" s="2" t="s">
        <v>1073</v>
      </c>
      <c r="K233" s="2" t="s">
        <v>625</v>
      </c>
      <c r="L233" s="2"/>
      <c r="M233" s="2"/>
      <c r="N233" s="2" t="str">
        <f t="shared" si="6"/>
        <v/>
      </c>
      <c r="O233" s="2"/>
      <c r="P233" s="2"/>
      <c r="Q233" s="2"/>
      <c r="R233" s="2"/>
      <c r="S233" s="2" t="s">
        <v>128</v>
      </c>
      <c r="T233" s="2"/>
      <c r="U233" s="2"/>
      <c r="V233" s="2" t="str">
        <f t="shared" si="7"/>
        <v/>
      </c>
      <c r="W233" t="str">
        <f>IF($P233="是",COUNTIF($P$2:$P233,"是"),"")</f>
        <v/>
      </c>
    </row>
    <row r="234" spans="1:23" ht="27.75">
      <c r="A234" s="2" t="s">
        <v>905</v>
      </c>
      <c r="B234" s="2" t="s">
        <v>906</v>
      </c>
      <c r="C234" s="2" t="s">
        <v>907</v>
      </c>
      <c r="D234" s="2" t="s">
        <v>1061</v>
      </c>
      <c r="E234" s="2" t="s">
        <v>1062</v>
      </c>
      <c r="F234" s="2" t="s">
        <v>1074</v>
      </c>
      <c r="G234" s="2" t="s">
        <v>1075</v>
      </c>
      <c r="H234" s="2" t="s">
        <v>24</v>
      </c>
      <c r="I234" s="2" t="s">
        <v>1076</v>
      </c>
      <c r="J234" s="2" t="s">
        <v>1077</v>
      </c>
      <c r="K234" s="2" t="s">
        <v>630</v>
      </c>
      <c r="L234" s="2"/>
      <c r="M234" s="2"/>
      <c r="N234" s="2" t="str">
        <f t="shared" si="6"/>
        <v/>
      </c>
      <c r="O234" s="2"/>
      <c r="P234" s="2"/>
      <c r="Q234" s="2"/>
      <c r="R234" s="2"/>
      <c r="S234" s="2" t="s">
        <v>128</v>
      </c>
      <c r="T234" s="2"/>
      <c r="U234" s="2"/>
      <c r="V234" s="2" t="str">
        <f t="shared" si="7"/>
        <v/>
      </c>
      <c r="W234" t="str">
        <f>IF($P234="是",COUNTIF($P$2:$P234,"是"),"")</f>
        <v/>
      </c>
    </row>
    <row r="235" spans="1:23" ht="27.75">
      <c r="A235" s="2" t="s">
        <v>905</v>
      </c>
      <c r="B235" s="2" t="s">
        <v>906</v>
      </c>
      <c r="C235" s="2" t="s">
        <v>907</v>
      </c>
      <c r="D235" s="2" t="s">
        <v>1061</v>
      </c>
      <c r="E235" s="2" t="s">
        <v>1062</v>
      </c>
      <c r="F235" s="2" t="s">
        <v>1078</v>
      </c>
      <c r="G235" s="2" t="s">
        <v>1079</v>
      </c>
      <c r="H235" s="2" t="s">
        <v>307</v>
      </c>
      <c r="I235" s="2" t="s">
        <v>1080</v>
      </c>
      <c r="J235" s="2" t="s">
        <v>1081</v>
      </c>
      <c r="K235" s="2" t="s">
        <v>639</v>
      </c>
      <c r="L235" s="2"/>
      <c r="M235" s="2"/>
      <c r="N235" s="2" t="str">
        <f t="shared" si="6"/>
        <v/>
      </c>
      <c r="O235" s="2"/>
      <c r="P235" s="2"/>
      <c r="Q235" s="2"/>
      <c r="R235" s="2"/>
      <c r="S235" s="2" t="s">
        <v>128</v>
      </c>
      <c r="T235" s="2"/>
      <c r="U235" s="2"/>
      <c r="V235" s="2" t="str">
        <f t="shared" si="7"/>
        <v/>
      </c>
      <c r="W235" t="str">
        <f>IF($P235="是",COUNTIF($P$2:$P235,"是"),"")</f>
        <v/>
      </c>
    </row>
    <row r="236" spans="1:23" ht="27.75">
      <c r="A236" s="2" t="s">
        <v>905</v>
      </c>
      <c r="B236" s="2" t="s">
        <v>906</v>
      </c>
      <c r="C236" s="2" t="s">
        <v>907</v>
      </c>
      <c r="D236" s="2" t="s">
        <v>1061</v>
      </c>
      <c r="E236" s="2" t="s">
        <v>1062</v>
      </c>
      <c r="F236" s="2" t="s">
        <v>1082</v>
      </c>
      <c r="G236" s="2" t="s">
        <v>1083</v>
      </c>
      <c r="H236" s="2" t="s">
        <v>513</v>
      </c>
      <c r="I236" s="2" t="s">
        <v>1084</v>
      </c>
      <c r="J236" s="2" t="s">
        <v>1085</v>
      </c>
      <c r="K236" s="2" t="s">
        <v>769</v>
      </c>
      <c r="L236" s="2"/>
      <c r="M236" s="2"/>
      <c r="N236" s="2" t="str">
        <f t="shared" si="6"/>
        <v/>
      </c>
      <c r="O236" s="2"/>
      <c r="P236" s="2"/>
      <c r="Q236" s="2"/>
      <c r="R236" s="2"/>
      <c r="S236" s="2" t="s">
        <v>128</v>
      </c>
      <c r="T236" s="2"/>
      <c r="U236" s="2"/>
      <c r="V236" s="2" t="str">
        <f t="shared" si="7"/>
        <v/>
      </c>
      <c r="W236" t="str">
        <f>IF($P236="是",COUNTIF($P$2:$P236,"是"),"")</f>
        <v/>
      </c>
    </row>
    <row r="237" spans="1:23" ht="27.75">
      <c r="A237" s="2" t="s">
        <v>905</v>
      </c>
      <c r="B237" s="2" t="s">
        <v>1086</v>
      </c>
      <c r="C237" s="2" t="s">
        <v>1087</v>
      </c>
      <c r="D237" s="2" t="s">
        <v>1088</v>
      </c>
      <c r="E237" s="2" t="s">
        <v>1089</v>
      </c>
      <c r="F237" s="2" t="s">
        <v>1090</v>
      </c>
      <c r="G237" s="2" t="s">
        <v>1091</v>
      </c>
      <c r="H237" s="2" t="s">
        <v>21</v>
      </c>
      <c r="I237" s="2" t="s">
        <v>1092</v>
      </c>
      <c r="J237" s="2" t="s">
        <v>1093</v>
      </c>
      <c r="K237" s="2" t="s">
        <v>1094</v>
      </c>
      <c r="L237" s="2"/>
      <c r="M237" s="2"/>
      <c r="N237" s="2" t="str">
        <f t="shared" si="6"/>
        <v/>
      </c>
      <c r="O237" s="2"/>
      <c r="P237" s="2"/>
      <c r="Q237" s="2"/>
      <c r="R237" s="2"/>
      <c r="S237" s="2" t="s">
        <v>128</v>
      </c>
      <c r="T237" s="2"/>
      <c r="U237" s="2"/>
      <c r="V237" s="2" t="str">
        <f t="shared" si="7"/>
        <v/>
      </c>
      <c r="W237" t="str">
        <f>IF($P237="是",COUNTIF($P$2:$P237,"是"),"")</f>
        <v/>
      </c>
    </row>
    <row r="238" spans="1:23" ht="27.75">
      <c r="A238" s="2" t="s">
        <v>905</v>
      </c>
      <c r="B238" s="2" t="s">
        <v>1086</v>
      </c>
      <c r="C238" s="2" t="s">
        <v>1087</v>
      </c>
      <c r="D238" s="2" t="s">
        <v>1088</v>
      </c>
      <c r="E238" s="2" t="s">
        <v>1089</v>
      </c>
      <c r="F238" s="2" t="s">
        <v>1095</v>
      </c>
      <c r="G238" s="2" t="s">
        <v>1096</v>
      </c>
      <c r="H238" s="2" t="s">
        <v>21</v>
      </c>
      <c r="I238" s="2" t="s">
        <v>1092</v>
      </c>
      <c r="J238" s="2" t="s">
        <v>1097</v>
      </c>
      <c r="K238" s="2" t="s">
        <v>1094</v>
      </c>
      <c r="L238" s="2"/>
      <c r="M238" s="2"/>
      <c r="N238" s="2" t="str">
        <f t="shared" si="6"/>
        <v/>
      </c>
      <c r="O238" s="2"/>
      <c r="P238" s="2"/>
      <c r="Q238" s="2"/>
      <c r="R238" s="2"/>
      <c r="S238" s="2" t="s">
        <v>128</v>
      </c>
      <c r="T238" s="2"/>
      <c r="U238" s="2"/>
      <c r="V238" s="2" t="str">
        <f t="shared" si="7"/>
        <v/>
      </c>
      <c r="W238" t="str">
        <f>IF($P238="是",COUNTIF($P$2:$P238,"是"),"")</f>
        <v/>
      </c>
    </row>
    <row r="239" spans="1:23" ht="27.75">
      <c r="A239" s="2" t="s">
        <v>905</v>
      </c>
      <c r="B239" s="2" t="s">
        <v>1086</v>
      </c>
      <c r="C239" s="2" t="s">
        <v>1087</v>
      </c>
      <c r="D239" s="2" t="s">
        <v>1088</v>
      </c>
      <c r="E239" s="2" t="s">
        <v>1089</v>
      </c>
      <c r="F239" s="2" t="s">
        <v>1098</v>
      </c>
      <c r="G239" s="2" t="s">
        <v>1099</v>
      </c>
      <c r="H239" s="2" t="s">
        <v>21</v>
      </c>
      <c r="I239" s="2" t="s">
        <v>1100</v>
      </c>
      <c r="J239" s="2" t="s">
        <v>1101</v>
      </c>
      <c r="K239" s="2" t="s">
        <v>1102</v>
      </c>
      <c r="L239" s="2"/>
      <c r="M239" s="2"/>
      <c r="N239" s="2" t="str">
        <f t="shared" si="6"/>
        <v/>
      </c>
      <c r="O239" s="2"/>
      <c r="P239" s="2"/>
      <c r="Q239" s="2"/>
      <c r="R239" s="2"/>
      <c r="S239" s="2" t="s">
        <v>128</v>
      </c>
      <c r="T239" s="2"/>
      <c r="U239" s="2"/>
      <c r="V239" s="2" t="str">
        <f t="shared" si="7"/>
        <v/>
      </c>
      <c r="W239" t="str">
        <f>IF($P239="是",COUNTIF($P$2:$P239,"是"),"")</f>
        <v/>
      </c>
    </row>
    <row r="240" spans="1:23" ht="27.75">
      <c r="A240" s="2" t="s">
        <v>905</v>
      </c>
      <c r="B240" s="2" t="s">
        <v>1086</v>
      </c>
      <c r="C240" s="2" t="s">
        <v>1087</v>
      </c>
      <c r="D240" s="2" t="s">
        <v>1088</v>
      </c>
      <c r="E240" s="2" t="s">
        <v>1089</v>
      </c>
      <c r="F240" s="2" t="s">
        <v>1103</v>
      </c>
      <c r="G240" s="2" t="s">
        <v>1104</v>
      </c>
      <c r="H240" s="2" t="s">
        <v>21</v>
      </c>
      <c r="I240" s="2" t="s">
        <v>1105</v>
      </c>
      <c r="J240" s="2" t="s">
        <v>1106</v>
      </c>
      <c r="K240" s="2" t="s">
        <v>1102</v>
      </c>
      <c r="L240" s="2"/>
      <c r="M240" s="2"/>
      <c r="N240" s="2" t="str">
        <f t="shared" si="6"/>
        <v/>
      </c>
      <c r="O240" s="2"/>
      <c r="P240" s="2"/>
      <c r="Q240" s="2"/>
      <c r="R240" s="2"/>
      <c r="S240" s="2" t="s">
        <v>128</v>
      </c>
      <c r="T240" s="2"/>
      <c r="U240" s="2"/>
      <c r="V240" s="2" t="str">
        <f t="shared" si="7"/>
        <v/>
      </c>
      <c r="W240" t="str">
        <f>IF($P240="是",COUNTIF($P$2:$P240,"是"),"")</f>
        <v/>
      </c>
    </row>
    <row r="241" spans="1:23" ht="27.75">
      <c r="A241" s="2" t="s">
        <v>905</v>
      </c>
      <c r="B241" s="2" t="s">
        <v>1086</v>
      </c>
      <c r="C241" s="2" t="s">
        <v>1087</v>
      </c>
      <c r="D241" s="2" t="s">
        <v>1088</v>
      </c>
      <c r="E241" s="2" t="s">
        <v>1089</v>
      </c>
      <c r="F241" s="2" t="s">
        <v>1107</v>
      </c>
      <c r="G241" s="2" t="s">
        <v>1108</v>
      </c>
      <c r="H241" s="2" t="s">
        <v>24</v>
      </c>
      <c r="I241" s="2" t="s">
        <v>1092</v>
      </c>
      <c r="J241" s="2" t="s">
        <v>1109</v>
      </c>
      <c r="K241" s="2" t="s">
        <v>1110</v>
      </c>
      <c r="L241" s="2"/>
      <c r="M241" s="2"/>
      <c r="N241" s="2" t="str">
        <f t="shared" si="6"/>
        <v/>
      </c>
      <c r="O241" s="2"/>
      <c r="P241" s="2"/>
      <c r="Q241" s="2"/>
      <c r="R241" s="2"/>
      <c r="S241" s="2" t="s">
        <v>128</v>
      </c>
      <c r="T241" s="2"/>
      <c r="U241" s="2"/>
      <c r="V241" s="2" t="str">
        <f t="shared" si="7"/>
        <v/>
      </c>
      <c r="W241" t="str">
        <f>IF($P241="是",COUNTIF($P$2:$P241,"是"),"")</f>
        <v/>
      </c>
    </row>
    <row r="242" spans="1:23" ht="27.75">
      <c r="A242" s="2" t="s">
        <v>905</v>
      </c>
      <c r="B242" s="2" t="s">
        <v>1086</v>
      </c>
      <c r="C242" s="2" t="s">
        <v>1087</v>
      </c>
      <c r="D242" s="2" t="s">
        <v>1111</v>
      </c>
      <c r="E242" s="2" t="s">
        <v>1112</v>
      </c>
      <c r="F242" s="2" t="s">
        <v>1113</v>
      </c>
      <c r="G242" s="2" t="s">
        <v>1114</v>
      </c>
      <c r="H242" s="2" t="s">
        <v>21</v>
      </c>
      <c r="I242" s="2" t="s">
        <v>1115</v>
      </c>
      <c r="J242" s="2" t="s">
        <v>1116</v>
      </c>
      <c r="K242" s="2" t="s">
        <v>1094</v>
      </c>
      <c r="L242" s="2"/>
      <c r="M242" s="2"/>
      <c r="N242" s="2" t="str">
        <f t="shared" si="6"/>
        <v/>
      </c>
      <c r="O242" s="2"/>
      <c r="P242" s="2"/>
      <c r="Q242" s="2"/>
      <c r="R242" s="2"/>
      <c r="S242" s="2" t="s">
        <v>128</v>
      </c>
      <c r="T242" s="2"/>
      <c r="U242" s="2"/>
      <c r="V242" s="2" t="str">
        <f t="shared" si="7"/>
        <v/>
      </c>
      <c r="W242" t="str">
        <f>IF($P242="是",COUNTIF($P$2:$P242,"是"),"")</f>
        <v/>
      </c>
    </row>
    <row r="243" spans="1:23" ht="27.75">
      <c r="A243" s="2" t="s">
        <v>905</v>
      </c>
      <c r="B243" s="2" t="s">
        <v>1086</v>
      </c>
      <c r="C243" s="2" t="s">
        <v>1087</v>
      </c>
      <c r="D243" s="2" t="s">
        <v>1111</v>
      </c>
      <c r="E243" s="2" t="s">
        <v>1112</v>
      </c>
      <c r="F243" s="2" t="s">
        <v>1117</v>
      </c>
      <c r="G243" s="2" t="s">
        <v>1118</v>
      </c>
      <c r="H243" s="2" t="s">
        <v>21</v>
      </c>
      <c r="I243" s="2" t="s">
        <v>1119</v>
      </c>
      <c r="J243" s="2" t="s">
        <v>1120</v>
      </c>
      <c r="K243" s="2" t="s">
        <v>1110</v>
      </c>
      <c r="L243" s="2"/>
      <c r="M243" s="2"/>
      <c r="N243" s="2" t="str">
        <f t="shared" si="6"/>
        <v/>
      </c>
      <c r="O243" s="2"/>
      <c r="P243" s="2"/>
      <c r="Q243" s="2"/>
      <c r="R243" s="2"/>
      <c r="S243" s="2" t="s">
        <v>128</v>
      </c>
      <c r="T243" s="2"/>
      <c r="U243" s="2"/>
      <c r="V243" s="2" t="str">
        <f t="shared" si="7"/>
        <v/>
      </c>
      <c r="W243" t="str">
        <f>IF($P243="是",COUNTIF($P$2:$P243,"是"),"")</f>
        <v/>
      </c>
    </row>
    <row r="244" spans="1:23" ht="27.75">
      <c r="A244" s="2" t="s">
        <v>905</v>
      </c>
      <c r="B244" s="2" t="s">
        <v>1086</v>
      </c>
      <c r="C244" s="2" t="s">
        <v>1087</v>
      </c>
      <c r="D244" s="2" t="s">
        <v>1111</v>
      </c>
      <c r="E244" s="2" t="s">
        <v>1112</v>
      </c>
      <c r="F244" s="2" t="s">
        <v>1121</v>
      </c>
      <c r="G244" s="2" t="s">
        <v>1122</v>
      </c>
      <c r="H244" s="2" t="s">
        <v>21</v>
      </c>
      <c r="I244" s="2" t="s">
        <v>1123</v>
      </c>
      <c r="J244" s="2" t="s">
        <v>1124</v>
      </c>
      <c r="K244" s="2" t="s">
        <v>1110</v>
      </c>
      <c r="L244" s="2"/>
      <c r="M244" s="2"/>
      <c r="N244" s="2" t="str">
        <f t="shared" si="6"/>
        <v/>
      </c>
      <c r="O244" s="2"/>
      <c r="P244" s="2"/>
      <c r="Q244" s="2"/>
      <c r="R244" s="2"/>
      <c r="S244" s="2" t="s">
        <v>128</v>
      </c>
      <c r="T244" s="2"/>
      <c r="U244" s="2"/>
      <c r="V244" s="2" t="str">
        <f t="shared" si="7"/>
        <v/>
      </c>
      <c r="W244" t="str">
        <f>IF($P244="是",COUNTIF($P$2:$P244,"是"),"")</f>
        <v/>
      </c>
    </row>
    <row r="245" spans="1:23" ht="27.75">
      <c r="A245" s="2" t="s">
        <v>905</v>
      </c>
      <c r="B245" s="2" t="s">
        <v>1086</v>
      </c>
      <c r="C245" s="2" t="s">
        <v>1087</v>
      </c>
      <c r="D245" s="2" t="s">
        <v>1111</v>
      </c>
      <c r="E245" s="2" t="s">
        <v>1112</v>
      </c>
      <c r="F245" s="2" t="s">
        <v>1125</v>
      </c>
      <c r="G245" s="2" t="s">
        <v>1126</v>
      </c>
      <c r="H245" s="2" t="s">
        <v>24</v>
      </c>
      <c r="I245" s="2" t="s">
        <v>1127</v>
      </c>
      <c r="J245" s="2" t="s">
        <v>1128</v>
      </c>
      <c r="K245" s="2" t="s">
        <v>1102</v>
      </c>
      <c r="L245" s="2"/>
      <c r="M245" s="2"/>
      <c r="N245" s="2" t="str">
        <f t="shared" si="6"/>
        <v/>
      </c>
      <c r="O245" s="2"/>
      <c r="P245" s="2"/>
      <c r="Q245" s="2"/>
      <c r="R245" s="2"/>
      <c r="S245" s="2" t="s">
        <v>128</v>
      </c>
      <c r="T245" s="2"/>
      <c r="U245" s="2"/>
      <c r="V245" s="2" t="str">
        <f t="shared" si="7"/>
        <v/>
      </c>
      <c r="W245" t="str">
        <f>IF($P245="是",COUNTIF($P$2:$P245,"是"),"")</f>
        <v/>
      </c>
    </row>
    <row r="246" spans="1:23" ht="27.75">
      <c r="A246" s="2" t="s">
        <v>905</v>
      </c>
      <c r="B246" s="2" t="s">
        <v>1086</v>
      </c>
      <c r="C246" s="2" t="s">
        <v>1087</v>
      </c>
      <c r="D246" s="2" t="s">
        <v>1111</v>
      </c>
      <c r="E246" s="2" t="s">
        <v>1112</v>
      </c>
      <c r="F246" s="2" t="s">
        <v>1129</v>
      </c>
      <c r="G246" s="2" t="s">
        <v>1130</v>
      </c>
      <c r="H246" s="2" t="s">
        <v>27</v>
      </c>
      <c r="I246" s="2" t="s">
        <v>1131</v>
      </c>
      <c r="J246" s="2" t="s">
        <v>1132</v>
      </c>
      <c r="K246" s="2" t="s">
        <v>1133</v>
      </c>
      <c r="L246" s="2"/>
      <c r="M246" s="2"/>
      <c r="N246" s="2" t="str">
        <f t="shared" si="6"/>
        <v/>
      </c>
      <c r="O246" s="2"/>
      <c r="P246" s="2"/>
      <c r="Q246" s="2"/>
      <c r="R246" s="2"/>
      <c r="S246" s="2" t="s">
        <v>128</v>
      </c>
      <c r="T246" s="2"/>
      <c r="U246" s="2"/>
      <c r="V246" s="2" t="str">
        <f t="shared" si="7"/>
        <v/>
      </c>
      <c r="W246" t="str">
        <f>IF($P246="是",COUNTIF($P$2:$P246,"是"),"")</f>
        <v/>
      </c>
    </row>
    <row r="247" spans="1:23" ht="27.75">
      <c r="A247" s="2" t="s">
        <v>905</v>
      </c>
      <c r="B247" s="2" t="s">
        <v>1086</v>
      </c>
      <c r="C247" s="2" t="s">
        <v>1087</v>
      </c>
      <c r="D247" s="2" t="s">
        <v>1134</v>
      </c>
      <c r="E247" s="2" t="s">
        <v>1135</v>
      </c>
      <c r="F247" s="2" t="s">
        <v>1136</v>
      </c>
      <c r="G247" s="2" t="s">
        <v>1137</v>
      </c>
      <c r="H247" s="2" t="s">
        <v>21</v>
      </c>
      <c r="I247" s="2" t="s">
        <v>1138</v>
      </c>
      <c r="J247" s="2" t="s">
        <v>1139</v>
      </c>
      <c r="K247" s="2" t="s">
        <v>1102</v>
      </c>
      <c r="L247" s="2"/>
      <c r="M247" s="2"/>
      <c r="N247" s="2" t="str">
        <f t="shared" si="6"/>
        <v/>
      </c>
      <c r="O247" s="2"/>
      <c r="P247" s="2"/>
      <c r="Q247" s="2"/>
      <c r="R247" s="2"/>
      <c r="S247" s="2" t="s">
        <v>128</v>
      </c>
      <c r="T247" s="2"/>
      <c r="U247" s="2"/>
      <c r="V247" s="2" t="str">
        <f t="shared" si="7"/>
        <v/>
      </c>
      <c r="W247" t="str">
        <f>IF($P247="是",COUNTIF($P$2:$P247,"是"),"")</f>
        <v/>
      </c>
    </row>
    <row r="248" spans="1:23" ht="27.75">
      <c r="A248" s="2" t="s">
        <v>905</v>
      </c>
      <c r="B248" s="2" t="s">
        <v>1086</v>
      </c>
      <c r="C248" s="2" t="s">
        <v>1087</v>
      </c>
      <c r="D248" s="2" t="s">
        <v>1134</v>
      </c>
      <c r="E248" s="2" t="s">
        <v>1135</v>
      </c>
      <c r="F248" s="2" t="s">
        <v>1140</v>
      </c>
      <c r="G248" s="2" t="s">
        <v>1141</v>
      </c>
      <c r="H248" s="2" t="s">
        <v>21</v>
      </c>
      <c r="I248" s="2" t="s">
        <v>1138</v>
      </c>
      <c r="J248" s="2" t="s">
        <v>1142</v>
      </c>
      <c r="K248" s="2" t="s">
        <v>1143</v>
      </c>
      <c r="L248" s="2"/>
      <c r="M248" s="2"/>
      <c r="N248" s="2" t="str">
        <f t="shared" si="6"/>
        <v/>
      </c>
      <c r="O248" s="2"/>
      <c r="P248" s="2"/>
      <c r="Q248" s="2"/>
      <c r="R248" s="2"/>
      <c r="S248" s="2" t="s">
        <v>128</v>
      </c>
      <c r="T248" s="2"/>
      <c r="U248" s="2"/>
      <c r="V248" s="2" t="str">
        <f t="shared" si="7"/>
        <v/>
      </c>
      <c r="W248" t="str">
        <f>IF($P248="是",COUNTIF($P$2:$P248,"是"),"")</f>
        <v/>
      </c>
    </row>
    <row r="249" spans="1:23" ht="27.75">
      <c r="A249" s="2" t="s">
        <v>905</v>
      </c>
      <c r="B249" s="2" t="s">
        <v>1086</v>
      </c>
      <c r="C249" s="2" t="s">
        <v>1087</v>
      </c>
      <c r="D249" s="2" t="s">
        <v>1134</v>
      </c>
      <c r="E249" s="2" t="s">
        <v>1135</v>
      </c>
      <c r="F249" s="2" t="s">
        <v>1144</v>
      </c>
      <c r="G249" s="2" t="s">
        <v>1145</v>
      </c>
      <c r="H249" s="2" t="s">
        <v>21</v>
      </c>
      <c r="I249" s="2" t="s">
        <v>1138</v>
      </c>
      <c r="J249" s="2" t="s">
        <v>1146</v>
      </c>
      <c r="K249" s="2" t="s">
        <v>1102</v>
      </c>
      <c r="L249" s="2"/>
      <c r="M249" s="2"/>
      <c r="N249" s="2" t="str">
        <f t="shared" si="6"/>
        <v/>
      </c>
      <c r="O249" s="2"/>
      <c r="P249" s="2"/>
      <c r="Q249" s="2"/>
      <c r="R249" s="2"/>
      <c r="S249" s="2" t="s">
        <v>128</v>
      </c>
      <c r="T249" s="2"/>
      <c r="U249" s="2"/>
      <c r="V249" s="2" t="str">
        <f t="shared" si="7"/>
        <v/>
      </c>
      <c r="W249" t="str">
        <f>IF($P249="是",COUNTIF($P$2:$P249,"是"),"")</f>
        <v/>
      </c>
    </row>
    <row r="250" spans="1:23" ht="27.75">
      <c r="A250" s="2" t="s">
        <v>905</v>
      </c>
      <c r="B250" s="2" t="s">
        <v>1086</v>
      </c>
      <c r="C250" s="2" t="s">
        <v>1087</v>
      </c>
      <c r="D250" s="2" t="s">
        <v>1134</v>
      </c>
      <c r="E250" s="2" t="s">
        <v>1135</v>
      </c>
      <c r="F250" s="2" t="s">
        <v>1147</v>
      </c>
      <c r="G250" s="2" t="s">
        <v>1148</v>
      </c>
      <c r="H250" s="2" t="s">
        <v>24</v>
      </c>
      <c r="I250" s="2" t="s">
        <v>1138</v>
      </c>
      <c r="J250" s="2" t="s">
        <v>1149</v>
      </c>
      <c r="K250" s="2" t="s">
        <v>1143</v>
      </c>
      <c r="L250" s="2"/>
      <c r="M250" s="2"/>
      <c r="N250" s="2" t="str">
        <f t="shared" si="6"/>
        <v/>
      </c>
      <c r="O250" s="2"/>
      <c r="P250" s="2"/>
      <c r="Q250" s="2"/>
      <c r="R250" s="2"/>
      <c r="S250" s="2" t="s">
        <v>128</v>
      </c>
      <c r="T250" s="2"/>
      <c r="U250" s="2"/>
      <c r="V250" s="2" t="str">
        <f t="shared" si="7"/>
        <v/>
      </c>
      <c r="W250" t="str">
        <f>IF($P250="是",COUNTIF($P$2:$P250,"是"),"")</f>
        <v/>
      </c>
    </row>
    <row r="251" spans="1:23" ht="27.75">
      <c r="A251" s="2" t="s">
        <v>905</v>
      </c>
      <c r="B251" s="2" t="s">
        <v>1086</v>
      </c>
      <c r="C251" s="2" t="s">
        <v>1087</v>
      </c>
      <c r="D251" s="2" t="s">
        <v>1134</v>
      </c>
      <c r="E251" s="2" t="s">
        <v>1135</v>
      </c>
      <c r="F251" s="2" t="s">
        <v>1150</v>
      </c>
      <c r="G251" s="2" t="s">
        <v>1151</v>
      </c>
      <c r="H251" s="2" t="s">
        <v>27</v>
      </c>
      <c r="I251" s="2" t="s">
        <v>1152</v>
      </c>
      <c r="J251" s="2" t="s">
        <v>1153</v>
      </c>
      <c r="K251" s="2" t="s">
        <v>1154</v>
      </c>
      <c r="L251" s="2"/>
      <c r="M251" s="2"/>
      <c r="N251" s="2" t="str">
        <f t="shared" si="6"/>
        <v/>
      </c>
      <c r="O251" s="2"/>
      <c r="P251" s="2"/>
      <c r="Q251" s="2"/>
      <c r="R251" s="2"/>
      <c r="S251" s="2" t="s">
        <v>128</v>
      </c>
      <c r="T251" s="2"/>
      <c r="U251" s="2"/>
      <c r="V251" s="2" t="str">
        <f t="shared" si="7"/>
        <v/>
      </c>
      <c r="W251" t="str">
        <f>IF($P251="是",COUNTIF($P$2:$P251,"是"),"")</f>
        <v/>
      </c>
    </row>
    <row r="252" spans="1:23" ht="27.75">
      <c r="A252" s="2" t="s">
        <v>905</v>
      </c>
      <c r="B252" s="2" t="s">
        <v>1086</v>
      </c>
      <c r="C252" s="2" t="s">
        <v>1087</v>
      </c>
      <c r="D252" s="2" t="s">
        <v>1155</v>
      </c>
      <c r="E252" s="2" t="s">
        <v>1156</v>
      </c>
      <c r="F252" s="2" t="s">
        <v>1157</v>
      </c>
      <c r="G252" s="2" t="s">
        <v>1158</v>
      </c>
      <c r="H252" s="2" t="s">
        <v>21</v>
      </c>
      <c r="I252" s="2" t="s">
        <v>1159</v>
      </c>
      <c r="J252" s="2" t="s">
        <v>1160</v>
      </c>
      <c r="K252" s="2" t="s">
        <v>1094</v>
      </c>
      <c r="L252" s="2"/>
      <c r="M252" s="2"/>
      <c r="N252" s="2" t="str">
        <f t="shared" si="6"/>
        <v/>
      </c>
      <c r="O252" s="2"/>
      <c r="P252" s="2"/>
      <c r="Q252" s="2"/>
      <c r="R252" s="2"/>
      <c r="S252" s="2" t="s">
        <v>128</v>
      </c>
      <c r="T252" s="2"/>
      <c r="U252" s="2"/>
      <c r="V252" s="2" t="str">
        <f t="shared" si="7"/>
        <v/>
      </c>
      <c r="W252" t="str">
        <f>IF($P252="是",COUNTIF($P$2:$P252,"是"),"")</f>
        <v/>
      </c>
    </row>
    <row r="253" spans="1:23" ht="27.75">
      <c r="A253" s="2" t="s">
        <v>905</v>
      </c>
      <c r="B253" s="2" t="s">
        <v>1086</v>
      </c>
      <c r="C253" s="2" t="s">
        <v>1087</v>
      </c>
      <c r="D253" s="2" t="s">
        <v>1155</v>
      </c>
      <c r="E253" s="2" t="s">
        <v>1156</v>
      </c>
      <c r="F253" s="2" t="s">
        <v>1161</v>
      </c>
      <c r="G253" s="2" t="s">
        <v>1162</v>
      </c>
      <c r="H253" s="2" t="s">
        <v>21</v>
      </c>
      <c r="I253" s="2" t="s">
        <v>1159</v>
      </c>
      <c r="J253" s="2" t="s">
        <v>1163</v>
      </c>
      <c r="K253" s="2" t="s">
        <v>1102</v>
      </c>
      <c r="L253" s="2"/>
      <c r="M253" s="2"/>
      <c r="N253" s="2" t="str">
        <f t="shared" si="6"/>
        <v/>
      </c>
      <c r="O253" s="2"/>
      <c r="P253" s="2"/>
      <c r="Q253" s="2"/>
      <c r="R253" s="2"/>
      <c r="S253" s="2" t="s">
        <v>128</v>
      </c>
      <c r="T253" s="2"/>
      <c r="U253" s="2"/>
      <c r="V253" s="2" t="str">
        <f t="shared" si="7"/>
        <v/>
      </c>
      <c r="W253" t="str">
        <f>IF($P253="是",COUNTIF($P$2:$P253,"是"),"")</f>
        <v/>
      </c>
    </row>
    <row r="254" spans="1:23" ht="27.75">
      <c r="A254" s="2" t="s">
        <v>905</v>
      </c>
      <c r="B254" s="2" t="s">
        <v>1086</v>
      </c>
      <c r="C254" s="2" t="s">
        <v>1087</v>
      </c>
      <c r="D254" s="2" t="s">
        <v>1155</v>
      </c>
      <c r="E254" s="2" t="s">
        <v>1156</v>
      </c>
      <c r="F254" s="2" t="s">
        <v>1164</v>
      </c>
      <c r="G254" s="2" t="s">
        <v>1165</v>
      </c>
      <c r="H254" s="2" t="s">
        <v>24</v>
      </c>
      <c r="I254" s="2" t="s">
        <v>1159</v>
      </c>
      <c r="J254" s="2" t="s">
        <v>1166</v>
      </c>
      <c r="K254" s="2" t="s">
        <v>1167</v>
      </c>
      <c r="L254" s="2"/>
      <c r="M254" s="2"/>
      <c r="N254" s="2" t="str">
        <f t="shared" si="6"/>
        <v/>
      </c>
      <c r="O254" s="2"/>
      <c r="P254" s="2"/>
      <c r="Q254" s="2"/>
      <c r="R254" s="2"/>
      <c r="S254" s="2" t="s">
        <v>128</v>
      </c>
      <c r="T254" s="2"/>
      <c r="U254" s="2"/>
      <c r="V254" s="2" t="str">
        <f t="shared" si="7"/>
        <v/>
      </c>
      <c r="W254" t="str">
        <f>IF($P254="是",COUNTIF($P$2:$P254,"是"),"")</f>
        <v/>
      </c>
    </row>
    <row r="255" spans="1:23" ht="27.75">
      <c r="A255" s="2" t="s">
        <v>905</v>
      </c>
      <c r="B255" s="2" t="s">
        <v>1086</v>
      </c>
      <c r="C255" s="2" t="s">
        <v>1087</v>
      </c>
      <c r="D255" s="2" t="s">
        <v>1155</v>
      </c>
      <c r="E255" s="2" t="s">
        <v>1156</v>
      </c>
      <c r="F255" s="2" t="s">
        <v>1168</v>
      </c>
      <c r="G255" s="2" t="s">
        <v>1169</v>
      </c>
      <c r="H255" s="2" t="s">
        <v>24</v>
      </c>
      <c r="I255" s="2" t="s">
        <v>1170</v>
      </c>
      <c r="J255" s="2" t="s">
        <v>1171</v>
      </c>
      <c r="K255" s="2" t="s">
        <v>1133</v>
      </c>
      <c r="L255" s="2"/>
      <c r="M255" s="2"/>
      <c r="N255" s="2" t="str">
        <f t="shared" si="6"/>
        <v/>
      </c>
      <c r="O255" s="2"/>
      <c r="P255" s="2"/>
      <c r="Q255" s="2"/>
      <c r="R255" s="2"/>
      <c r="S255" s="2" t="s">
        <v>128</v>
      </c>
      <c r="T255" s="2"/>
      <c r="U255" s="2"/>
      <c r="V255" s="2" t="str">
        <f t="shared" si="7"/>
        <v/>
      </c>
      <c r="W255" t="str">
        <f>IF($P255="是",COUNTIF($P$2:$P255,"是"),"")</f>
        <v/>
      </c>
    </row>
    <row r="256" spans="1:23" ht="27.75">
      <c r="A256" s="2" t="s">
        <v>905</v>
      </c>
      <c r="B256" s="2" t="s">
        <v>1086</v>
      </c>
      <c r="C256" s="2" t="s">
        <v>1087</v>
      </c>
      <c r="D256" s="2" t="s">
        <v>1155</v>
      </c>
      <c r="E256" s="2" t="s">
        <v>1156</v>
      </c>
      <c r="F256" s="2" t="s">
        <v>1172</v>
      </c>
      <c r="G256" s="2" t="s">
        <v>1173</v>
      </c>
      <c r="H256" s="2" t="s">
        <v>27</v>
      </c>
      <c r="I256" s="2" t="s">
        <v>1159</v>
      </c>
      <c r="J256" s="2" t="s">
        <v>1174</v>
      </c>
      <c r="K256" s="2" t="s">
        <v>1175</v>
      </c>
      <c r="L256" s="2"/>
      <c r="M256" s="2"/>
      <c r="N256" s="2" t="str">
        <f t="shared" si="6"/>
        <v/>
      </c>
      <c r="O256" s="2"/>
      <c r="P256" s="2"/>
      <c r="Q256" s="2"/>
      <c r="R256" s="2"/>
      <c r="S256" s="2" t="s">
        <v>128</v>
      </c>
      <c r="T256" s="2"/>
      <c r="U256" s="2"/>
      <c r="V256" s="2" t="str">
        <f t="shared" si="7"/>
        <v/>
      </c>
      <c r="W256" t="str">
        <f>IF($P256="是",COUNTIF($P$2:$P256,"是"),"")</f>
        <v/>
      </c>
    </row>
    <row r="257" spans="1:23" ht="27.75">
      <c r="A257" s="2" t="s">
        <v>905</v>
      </c>
      <c r="B257" s="2" t="s">
        <v>1086</v>
      </c>
      <c r="C257" s="2" t="s">
        <v>1087</v>
      </c>
      <c r="D257" s="2" t="s">
        <v>1176</v>
      </c>
      <c r="E257" s="2" t="s">
        <v>1177</v>
      </c>
      <c r="F257" s="2" t="s">
        <v>1178</v>
      </c>
      <c r="G257" s="2" t="s">
        <v>1179</v>
      </c>
      <c r="H257" s="2" t="s">
        <v>21</v>
      </c>
      <c r="I257" s="2" t="s">
        <v>1180</v>
      </c>
      <c r="J257" s="2" t="s">
        <v>1181</v>
      </c>
      <c r="K257" s="2" t="s">
        <v>1102</v>
      </c>
      <c r="L257" s="2"/>
      <c r="M257" s="2"/>
      <c r="N257" s="2" t="str">
        <f t="shared" si="6"/>
        <v/>
      </c>
      <c r="O257" s="2"/>
      <c r="P257" s="2"/>
      <c r="Q257" s="2"/>
      <c r="R257" s="2"/>
      <c r="S257" s="2" t="s">
        <v>128</v>
      </c>
      <c r="T257" s="2"/>
      <c r="U257" s="2"/>
      <c r="V257" s="2" t="str">
        <f t="shared" si="7"/>
        <v/>
      </c>
      <c r="W257" t="str">
        <f>IF($P257="是",COUNTIF($P$2:$P257,"是"),"")</f>
        <v/>
      </c>
    </row>
    <row r="258" spans="1:23" ht="27.75">
      <c r="A258" s="2" t="s">
        <v>905</v>
      </c>
      <c r="B258" s="2" t="s">
        <v>1086</v>
      </c>
      <c r="C258" s="2" t="s">
        <v>1087</v>
      </c>
      <c r="D258" s="2" t="s">
        <v>1176</v>
      </c>
      <c r="E258" s="2" t="s">
        <v>1177</v>
      </c>
      <c r="F258" s="2" t="s">
        <v>1182</v>
      </c>
      <c r="G258" s="2" t="s">
        <v>1183</v>
      </c>
      <c r="H258" s="2" t="s">
        <v>21</v>
      </c>
      <c r="I258" s="2" t="s">
        <v>1180</v>
      </c>
      <c r="J258" s="2" t="s">
        <v>1184</v>
      </c>
      <c r="K258" s="2" t="s">
        <v>1167</v>
      </c>
      <c r="L258" s="2"/>
      <c r="M258" s="2"/>
      <c r="N258" s="2" t="str">
        <f t="shared" ref="N258:N321" si="8">IF(OR(L258="",M258=""),"",MAX(0,M258-L258))</f>
        <v/>
      </c>
      <c r="O258" s="2"/>
      <c r="P258" s="2"/>
      <c r="Q258" s="2"/>
      <c r="R258" s="2"/>
      <c r="S258" s="2" t="s">
        <v>128</v>
      </c>
      <c r="T258" s="2"/>
      <c r="U258" s="2"/>
      <c r="V258" s="2" t="str">
        <f t="shared" ref="V258:V311" si="9">IF(N258="","",IF(N258&gt;=3,"年度重点专项",IF(N258=2,"季度重点补齐",IF(N258=1,"月度常规提升","保持观察/可做分享"))))</f>
        <v/>
      </c>
      <c r="W258" t="str">
        <f>IF($P258="是",COUNTIF($P$2:$P258,"是"),"")</f>
        <v/>
      </c>
    </row>
    <row r="259" spans="1:23" ht="27.75">
      <c r="A259" s="2" t="s">
        <v>905</v>
      </c>
      <c r="B259" s="2" t="s">
        <v>1086</v>
      </c>
      <c r="C259" s="2" t="s">
        <v>1087</v>
      </c>
      <c r="D259" s="2" t="s">
        <v>1176</v>
      </c>
      <c r="E259" s="2" t="s">
        <v>1177</v>
      </c>
      <c r="F259" s="2" t="s">
        <v>1185</v>
      </c>
      <c r="G259" s="2" t="s">
        <v>1186</v>
      </c>
      <c r="H259" s="2" t="s">
        <v>24</v>
      </c>
      <c r="I259" s="2" t="s">
        <v>1187</v>
      </c>
      <c r="J259" s="2" t="s">
        <v>1188</v>
      </c>
      <c r="K259" s="2" t="s">
        <v>1167</v>
      </c>
      <c r="L259" s="2"/>
      <c r="M259" s="2"/>
      <c r="N259" s="2" t="str">
        <f t="shared" si="8"/>
        <v/>
      </c>
      <c r="O259" s="2"/>
      <c r="P259" s="2"/>
      <c r="Q259" s="2"/>
      <c r="R259" s="2"/>
      <c r="S259" s="2" t="s">
        <v>128</v>
      </c>
      <c r="T259" s="2"/>
      <c r="U259" s="2"/>
      <c r="V259" s="2" t="str">
        <f t="shared" si="9"/>
        <v/>
      </c>
      <c r="W259" t="str">
        <f>IF($P259="是",COUNTIF($P$2:$P259,"是"),"")</f>
        <v/>
      </c>
    </row>
    <row r="260" spans="1:23" ht="13.9">
      <c r="A260" s="2" t="s">
        <v>905</v>
      </c>
      <c r="B260" s="2" t="s">
        <v>1086</v>
      </c>
      <c r="C260" s="2" t="s">
        <v>1087</v>
      </c>
      <c r="D260" s="2" t="s">
        <v>1176</v>
      </c>
      <c r="E260" s="2" t="s">
        <v>1177</v>
      </c>
      <c r="F260" s="2" t="s">
        <v>1189</v>
      </c>
      <c r="G260" s="2" t="s">
        <v>1190</v>
      </c>
      <c r="H260" s="2" t="s">
        <v>24</v>
      </c>
      <c r="I260" s="2" t="s">
        <v>1180</v>
      </c>
      <c r="J260" s="2" t="s">
        <v>1191</v>
      </c>
      <c r="K260" s="2" t="s">
        <v>1133</v>
      </c>
      <c r="L260" s="2"/>
      <c r="M260" s="2"/>
      <c r="N260" s="2" t="str">
        <f t="shared" si="8"/>
        <v/>
      </c>
      <c r="O260" s="2"/>
      <c r="P260" s="2"/>
      <c r="Q260" s="2"/>
      <c r="R260" s="2"/>
      <c r="S260" s="2" t="s">
        <v>128</v>
      </c>
      <c r="T260" s="2"/>
      <c r="U260" s="2"/>
      <c r="V260" s="2" t="str">
        <f t="shared" si="9"/>
        <v/>
      </c>
      <c r="W260" t="str">
        <f>IF($P260="是",COUNTIF($P$2:$P260,"是"),"")</f>
        <v/>
      </c>
    </row>
    <row r="261" spans="1:23" ht="27.75">
      <c r="A261" s="2" t="s">
        <v>905</v>
      </c>
      <c r="B261" s="2" t="s">
        <v>1086</v>
      </c>
      <c r="C261" s="2" t="s">
        <v>1087</v>
      </c>
      <c r="D261" s="2" t="s">
        <v>1176</v>
      </c>
      <c r="E261" s="2" t="s">
        <v>1177</v>
      </c>
      <c r="F261" s="2" t="s">
        <v>1192</v>
      </c>
      <c r="G261" s="2" t="s">
        <v>1193</v>
      </c>
      <c r="H261" s="2" t="s">
        <v>27</v>
      </c>
      <c r="I261" s="2" t="s">
        <v>1194</v>
      </c>
      <c r="J261" s="2" t="s">
        <v>1195</v>
      </c>
      <c r="K261" s="2" t="s">
        <v>1154</v>
      </c>
      <c r="L261" s="2"/>
      <c r="M261" s="2"/>
      <c r="N261" s="2" t="str">
        <f t="shared" si="8"/>
        <v/>
      </c>
      <c r="O261" s="2"/>
      <c r="P261" s="2"/>
      <c r="Q261" s="2"/>
      <c r="R261" s="2"/>
      <c r="S261" s="2" t="s">
        <v>128</v>
      </c>
      <c r="T261" s="2"/>
      <c r="U261" s="2"/>
      <c r="V261" s="2" t="str">
        <f t="shared" si="9"/>
        <v/>
      </c>
      <c r="W261" t="str">
        <f>IF($P261="是",COUNTIF($P$2:$P261,"是"),"")</f>
        <v/>
      </c>
    </row>
    <row r="262" spans="1:23" ht="27.75">
      <c r="A262" s="2" t="s">
        <v>905</v>
      </c>
      <c r="B262" s="2" t="s">
        <v>1086</v>
      </c>
      <c r="C262" s="2" t="s">
        <v>1087</v>
      </c>
      <c r="D262" s="2" t="s">
        <v>1196</v>
      </c>
      <c r="E262" s="2" t="s">
        <v>1197</v>
      </c>
      <c r="F262" s="2" t="s">
        <v>1198</v>
      </c>
      <c r="G262" s="2" t="s">
        <v>1199</v>
      </c>
      <c r="H262" s="2" t="s">
        <v>21</v>
      </c>
      <c r="I262" s="2" t="s">
        <v>1200</v>
      </c>
      <c r="J262" s="2" t="s">
        <v>1201</v>
      </c>
      <c r="K262" s="2" t="s">
        <v>1094</v>
      </c>
      <c r="L262" s="2"/>
      <c r="M262" s="2"/>
      <c r="N262" s="2" t="str">
        <f t="shared" si="8"/>
        <v/>
      </c>
      <c r="O262" s="2"/>
      <c r="P262" s="2"/>
      <c r="Q262" s="2"/>
      <c r="R262" s="2"/>
      <c r="S262" s="2" t="s">
        <v>128</v>
      </c>
      <c r="T262" s="2"/>
      <c r="U262" s="2"/>
      <c r="V262" s="2" t="str">
        <f t="shared" si="9"/>
        <v/>
      </c>
      <c r="W262" t="str">
        <f>IF($P262="是",COUNTIF($P$2:$P262,"是"),"")</f>
        <v/>
      </c>
    </row>
    <row r="263" spans="1:23" ht="27.75">
      <c r="A263" s="2" t="s">
        <v>905</v>
      </c>
      <c r="B263" s="2" t="s">
        <v>1086</v>
      </c>
      <c r="C263" s="2" t="s">
        <v>1087</v>
      </c>
      <c r="D263" s="2" t="s">
        <v>1196</v>
      </c>
      <c r="E263" s="2" t="s">
        <v>1197</v>
      </c>
      <c r="F263" s="2" t="s">
        <v>1202</v>
      </c>
      <c r="G263" s="2" t="s">
        <v>1203</v>
      </c>
      <c r="H263" s="2" t="s">
        <v>21</v>
      </c>
      <c r="I263" s="2" t="s">
        <v>1200</v>
      </c>
      <c r="J263" s="2" t="s">
        <v>1204</v>
      </c>
      <c r="K263" s="2" t="s">
        <v>1102</v>
      </c>
      <c r="L263" s="2"/>
      <c r="M263" s="2"/>
      <c r="N263" s="2" t="str">
        <f t="shared" si="8"/>
        <v/>
      </c>
      <c r="O263" s="2"/>
      <c r="P263" s="2"/>
      <c r="Q263" s="2"/>
      <c r="R263" s="2"/>
      <c r="S263" s="2" t="s">
        <v>128</v>
      </c>
      <c r="T263" s="2"/>
      <c r="U263" s="2"/>
      <c r="V263" s="2" t="str">
        <f t="shared" si="9"/>
        <v/>
      </c>
      <c r="W263" t="str">
        <f>IF($P263="是",COUNTIF($P$2:$P263,"是"),"")</f>
        <v/>
      </c>
    </row>
    <row r="264" spans="1:23" ht="27.75">
      <c r="A264" s="2" t="s">
        <v>905</v>
      </c>
      <c r="B264" s="2" t="s">
        <v>1086</v>
      </c>
      <c r="C264" s="2" t="s">
        <v>1087</v>
      </c>
      <c r="D264" s="2" t="s">
        <v>1196</v>
      </c>
      <c r="E264" s="2" t="s">
        <v>1197</v>
      </c>
      <c r="F264" s="2" t="s">
        <v>1205</v>
      </c>
      <c r="G264" s="2" t="s">
        <v>1206</v>
      </c>
      <c r="H264" s="2" t="s">
        <v>24</v>
      </c>
      <c r="I264" s="2" t="s">
        <v>1207</v>
      </c>
      <c r="J264" s="2" t="s">
        <v>1208</v>
      </c>
      <c r="K264" s="2" t="s">
        <v>1167</v>
      </c>
      <c r="L264" s="2"/>
      <c r="M264" s="2"/>
      <c r="N264" s="2" t="str">
        <f t="shared" si="8"/>
        <v/>
      </c>
      <c r="O264" s="2"/>
      <c r="P264" s="2"/>
      <c r="Q264" s="2"/>
      <c r="R264" s="2"/>
      <c r="S264" s="2" t="s">
        <v>128</v>
      </c>
      <c r="T264" s="2"/>
      <c r="U264" s="2"/>
      <c r="V264" s="2" t="str">
        <f t="shared" si="9"/>
        <v/>
      </c>
      <c r="W264" t="str">
        <f>IF($P264="是",COUNTIF($P$2:$P264,"是"),"")</f>
        <v/>
      </c>
    </row>
    <row r="265" spans="1:23" ht="13.9">
      <c r="A265" s="2" t="s">
        <v>905</v>
      </c>
      <c r="B265" s="2" t="s">
        <v>1086</v>
      </c>
      <c r="C265" s="2" t="s">
        <v>1087</v>
      </c>
      <c r="D265" s="2" t="s">
        <v>1196</v>
      </c>
      <c r="E265" s="2" t="s">
        <v>1197</v>
      </c>
      <c r="F265" s="2" t="s">
        <v>1209</v>
      </c>
      <c r="G265" s="2" t="s">
        <v>1210</v>
      </c>
      <c r="H265" s="2" t="s">
        <v>24</v>
      </c>
      <c r="I265" s="2" t="s">
        <v>1200</v>
      </c>
      <c r="J265" s="2" t="s">
        <v>1211</v>
      </c>
      <c r="K265" s="2" t="s">
        <v>1133</v>
      </c>
      <c r="L265" s="2"/>
      <c r="M265" s="2"/>
      <c r="N265" s="2" t="str">
        <f t="shared" si="8"/>
        <v/>
      </c>
      <c r="O265" s="2"/>
      <c r="P265" s="2"/>
      <c r="Q265" s="2"/>
      <c r="R265" s="2"/>
      <c r="S265" s="2" t="s">
        <v>128</v>
      </c>
      <c r="T265" s="2"/>
      <c r="U265" s="2"/>
      <c r="V265" s="2" t="str">
        <f t="shared" si="9"/>
        <v/>
      </c>
      <c r="W265" t="str">
        <f>IF($P265="是",COUNTIF($P$2:$P265,"是"),"")</f>
        <v/>
      </c>
    </row>
    <row r="266" spans="1:23" ht="27.75">
      <c r="A266" s="2" t="s">
        <v>905</v>
      </c>
      <c r="B266" s="2" t="s">
        <v>1086</v>
      </c>
      <c r="C266" s="2" t="s">
        <v>1087</v>
      </c>
      <c r="D266" s="2" t="s">
        <v>1196</v>
      </c>
      <c r="E266" s="2" t="s">
        <v>1197</v>
      </c>
      <c r="F266" s="2" t="s">
        <v>1212</v>
      </c>
      <c r="G266" s="2" t="s">
        <v>1213</v>
      </c>
      <c r="H266" s="2" t="s">
        <v>249</v>
      </c>
      <c r="I266" s="2" t="s">
        <v>1214</v>
      </c>
      <c r="J266" s="2" t="s">
        <v>1215</v>
      </c>
      <c r="K266" s="2" t="s">
        <v>1216</v>
      </c>
      <c r="L266" s="2"/>
      <c r="M266" s="2"/>
      <c r="N266" s="2" t="str">
        <f t="shared" si="8"/>
        <v/>
      </c>
      <c r="O266" s="2"/>
      <c r="P266" s="2"/>
      <c r="Q266" s="2"/>
      <c r="R266" s="2"/>
      <c r="S266" s="2" t="s">
        <v>128</v>
      </c>
      <c r="T266" s="2"/>
      <c r="U266" s="2"/>
      <c r="V266" s="2" t="str">
        <f t="shared" si="9"/>
        <v/>
      </c>
      <c r="W266" t="str">
        <f>IF($P266="是",COUNTIF($P$2:$P266,"是"),"")</f>
        <v/>
      </c>
    </row>
    <row r="267" spans="1:23" ht="27.75">
      <c r="A267" s="2" t="s">
        <v>905</v>
      </c>
      <c r="B267" s="2" t="s">
        <v>1086</v>
      </c>
      <c r="C267" s="2" t="s">
        <v>1087</v>
      </c>
      <c r="D267" s="2" t="s">
        <v>1217</v>
      </c>
      <c r="E267" s="2" t="s">
        <v>1218</v>
      </c>
      <c r="F267" s="2" t="s">
        <v>1219</v>
      </c>
      <c r="G267" s="2" t="s">
        <v>1220</v>
      </c>
      <c r="H267" s="2" t="s">
        <v>21</v>
      </c>
      <c r="I267" s="2" t="s">
        <v>1221</v>
      </c>
      <c r="J267" s="2" t="s">
        <v>1222</v>
      </c>
      <c r="K267" s="2" t="s">
        <v>1102</v>
      </c>
      <c r="L267" s="2"/>
      <c r="M267" s="2"/>
      <c r="N267" s="2" t="str">
        <f t="shared" si="8"/>
        <v/>
      </c>
      <c r="O267" s="2"/>
      <c r="P267" s="2"/>
      <c r="Q267" s="2"/>
      <c r="R267" s="2"/>
      <c r="S267" s="2" t="s">
        <v>128</v>
      </c>
      <c r="T267" s="2"/>
      <c r="U267" s="2"/>
      <c r="V267" s="2" t="str">
        <f t="shared" si="9"/>
        <v/>
      </c>
      <c r="W267" t="str">
        <f>IF($P267="是",COUNTIF($P$2:$P267,"是"),"")</f>
        <v/>
      </c>
    </row>
    <row r="268" spans="1:23" ht="27.75">
      <c r="A268" s="2" t="s">
        <v>905</v>
      </c>
      <c r="B268" s="2" t="s">
        <v>1086</v>
      </c>
      <c r="C268" s="2" t="s">
        <v>1087</v>
      </c>
      <c r="D268" s="2" t="s">
        <v>1217</v>
      </c>
      <c r="E268" s="2" t="s">
        <v>1218</v>
      </c>
      <c r="F268" s="2" t="s">
        <v>1223</v>
      </c>
      <c r="G268" s="2" t="s">
        <v>1224</v>
      </c>
      <c r="H268" s="2" t="s">
        <v>24</v>
      </c>
      <c r="I268" s="2" t="s">
        <v>1221</v>
      </c>
      <c r="J268" s="2" t="s">
        <v>1225</v>
      </c>
      <c r="K268" s="2" t="s">
        <v>1143</v>
      </c>
      <c r="L268" s="2"/>
      <c r="M268" s="2"/>
      <c r="N268" s="2" t="str">
        <f t="shared" si="8"/>
        <v/>
      </c>
      <c r="O268" s="2"/>
      <c r="P268" s="2"/>
      <c r="Q268" s="2"/>
      <c r="R268" s="2"/>
      <c r="S268" s="2" t="s">
        <v>128</v>
      </c>
      <c r="T268" s="2"/>
      <c r="U268" s="2"/>
      <c r="V268" s="2" t="str">
        <f t="shared" si="9"/>
        <v/>
      </c>
      <c r="W268" t="str">
        <f>IF($P268="是",COUNTIF($P$2:$P268,"是"),"")</f>
        <v/>
      </c>
    </row>
    <row r="269" spans="1:23" ht="27.75">
      <c r="A269" s="2" t="s">
        <v>905</v>
      </c>
      <c r="B269" s="2" t="s">
        <v>1086</v>
      </c>
      <c r="C269" s="2" t="s">
        <v>1087</v>
      </c>
      <c r="D269" s="2" t="s">
        <v>1217</v>
      </c>
      <c r="E269" s="2" t="s">
        <v>1218</v>
      </c>
      <c r="F269" s="2" t="s">
        <v>1226</v>
      </c>
      <c r="G269" s="2" t="s">
        <v>1227</v>
      </c>
      <c r="H269" s="2" t="s">
        <v>24</v>
      </c>
      <c r="I269" s="2" t="s">
        <v>1221</v>
      </c>
      <c r="J269" s="2" t="s">
        <v>1228</v>
      </c>
      <c r="K269" s="2" t="s">
        <v>1143</v>
      </c>
      <c r="L269" s="2"/>
      <c r="M269" s="2"/>
      <c r="N269" s="2" t="str">
        <f t="shared" si="8"/>
        <v/>
      </c>
      <c r="O269" s="2"/>
      <c r="P269" s="2"/>
      <c r="Q269" s="2"/>
      <c r="R269" s="2"/>
      <c r="S269" s="2" t="s">
        <v>128</v>
      </c>
      <c r="T269" s="2"/>
      <c r="U269" s="2"/>
      <c r="V269" s="2" t="str">
        <f t="shared" si="9"/>
        <v/>
      </c>
      <c r="W269" t="str">
        <f>IF($P269="是",COUNTIF($P$2:$P269,"是"),"")</f>
        <v/>
      </c>
    </row>
    <row r="270" spans="1:23" ht="27.75">
      <c r="A270" s="2" t="s">
        <v>905</v>
      </c>
      <c r="B270" s="2" t="s">
        <v>1086</v>
      </c>
      <c r="C270" s="2" t="s">
        <v>1087</v>
      </c>
      <c r="D270" s="2" t="s">
        <v>1217</v>
      </c>
      <c r="E270" s="2" t="s">
        <v>1218</v>
      </c>
      <c r="F270" s="2" t="s">
        <v>1229</v>
      </c>
      <c r="G270" s="2" t="s">
        <v>1230</v>
      </c>
      <c r="H270" s="2" t="s">
        <v>27</v>
      </c>
      <c r="I270" s="2" t="s">
        <v>1231</v>
      </c>
      <c r="J270" s="2" t="s">
        <v>1232</v>
      </c>
      <c r="K270" s="2" t="s">
        <v>1233</v>
      </c>
      <c r="L270" s="2"/>
      <c r="M270" s="2"/>
      <c r="N270" s="2" t="str">
        <f t="shared" si="8"/>
        <v/>
      </c>
      <c r="O270" s="2"/>
      <c r="P270" s="2"/>
      <c r="Q270" s="2"/>
      <c r="R270" s="2"/>
      <c r="S270" s="2" t="s">
        <v>128</v>
      </c>
      <c r="T270" s="2"/>
      <c r="U270" s="2"/>
      <c r="V270" s="2" t="str">
        <f t="shared" si="9"/>
        <v/>
      </c>
      <c r="W270" t="str">
        <f>IF($P270="是",COUNTIF($P$2:$P270,"是"),"")</f>
        <v/>
      </c>
    </row>
    <row r="271" spans="1:23" ht="27.75">
      <c r="A271" s="2" t="s">
        <v>905</v>
      </c>
      <c r="B271" s="2" t="s">
        <v>1086</v>
      </c>
      <c r="C271" s="2" t="s">
        <v>1087</v>
      </c>
      <c r="D271" s="2" t="s">
        <v>1217</v>
      </c>
      <c r="E271" s="2" t="s">
        <v>1218</v>
      </c>
      <c r="F271" s="2" t="s">
        <v>1234</v>
      </c>
      <c r="G271" s="2" t="s">
        <v>1235</v>
      </c>
      <c r="H271" s="2" t="s">
        <v>249</v>
      </c>
      <c r="I271" s="2" t="s">
        <v>1231</v>
      </c>
      <c r="J271" s="2" t="s">
        <v>1236</v>
      </c>
      <c r="K271" s="2" t="s">
        <v>1216</v>
      </c>
      <c r="L271" s="2"/>
      <c r="M271" s="2"/>
      <c r="N271" s="2" t="str">
        <f t="shared" si="8"/>
        <v/>
      </c>
      <c r="O271" s="2"/>
      <c r="P271" s="2"/>
      <c r="Q271" s="2"/>
      <c r="R271" s="2"/>
      <c r="S271" s="2" t="s">
        <v>128</v>
      </c>
      <c r="T271" s="2"/>
      <c r="U271" s="2"/>
      <c r="V271" s="2" t="str">
        <f t="shared" si="9"/>
        <v/>
      </c>
      <c r="W271" t="str">
        <f>IF($P271="是",COUNTIF($P$2:$P271,"是"),"")</f>
        <v/>
      </c>
    </row>
    <row r="272" spans="1:23" ht="27.75">
      <c r="A272" s="2" t="s">
        <v>905</v>
      </c>
      <c r="B272" s="2" t="s">
        <v>1237</v>
      </c>
      <c r="C272" s="2" t="s">
        <v>1238</v>
      </c>
      <c r="D272" s="2" t="s">
        <v>1239</v>
      </c>
      <c r="E272" s="2" t="s">
        <v>1240</v>
      </c>
      <c r="F272" s="2" t="s">
        <v>1241</v>
      </c>
      <c r="G272" s="2" t="s">
        <v>1242</v>
      </c>
      <c r="H272" s="2" t="s">
        <v>21</v>
      </c>
      <c r="I272" s="2" t="s">
        <v>1243</v>
      </c>
      <c r="J272" s="2" t="s">
        <v>1244</v>
      </c>
      <c r="K272" s="2" t="s">
        <v>1245</v>
      </c>
      <c r="L272" s="2"/>
      <c r="M272" s="2"/>
      <c r="N272" s="2" t="str">
        <f t="shared" si="8"/>
        <v/>
      </c>
      <c r="O272" s="2"/>
      <c r="P272" s="2"/>
      <c r="Q272" s="2"/>
      <c r="R272" s="2"/>
      <c r="S272" s="2" t="s">
        <v>128</v>
      </c>
      <c r="T272" s="2"/>
      <c r="U272" s="2"/>
      <c r="V272" s="2" t="str">
        <f t="shared" si="9"/>
        <v/>
      </c>
      <c r="W272" t="str">
        <f>IF($P272="是",COUNTIF($P$2:$P272,"是"),"")</f>
        <v/>
      </c>
    </row>
    <row r="273" spans="1:23" ht="27.75">
      <c r="A273" s="2" t="s">
        <v>905</v>
      </c>
      <c r="B273" s="2" t="s">
        <v>1237</v>
      </c>
      <c r="C273" s="2" t="s">
        <v>1238</v>
      </c>
      <c r="D273" s="2" t="s">
        <v>1239</v>
      </c>
      <c r="E273" s="2" t="s">
        <v>1240</v>
      </c>
      <c r="F273" s="2" t="s">
        <v>1246</v>
      </c>
      <c r="G273" s="2" t="s">
        <v>1247</v>
      </c>
      <c r="H273" s="2" t="s">
        <v>21</v>
      </c>
      <c r="I273" s="2" t="s">
        <v>1243</v>
      </c>
      <c r="J273" s="2" t="s">
        <v>1248</v>
      </c>
      <c r="K273" s="2" t="s">
        <v>1245</v>
      </c>
      <c r="L273" s="2"/>
      <c r="M273" s="2"/>
      <c r="N273" s="2" t="str">
        <f t="shared" si="8"/>
        <v/>
      </c>
      <c r="O273" s="2"/>
      <c r="P273" s="2"/>
      <c r="Q273" s="2"/>
      <c r="R273" s="2"/>
      <c r="S273" s="2" t="s">
        <v>128</v>
      </c>
      <c r="T273" s="2"/>
      <c r="U273" s="2"/>
      <c r="V273" s="2" t="str">
        <f t="shared" si="9"/>
        <v/>
      </c>
      <c r="W273" t="str">
        <f>IF($P273="是",COUNTIF($P$2:$P273,"是"),"")</f>
        <v/>
      </c>
    </row>
    <row r="274" spans="1:23" ht="27.75">
      <c r="A274" s="2" t="s">
        <v>905</v>
      </c>
      <c r="B274" s="2" t="s">
        <v>1237</v>
      </c>
      <c r="C274" s="2" t="s">
        <v>1238</v>
      </c>
      <c r="D274" s="2" t="s">
        <v>1239</v>
      </c>
      <c r="E274" s="2" t="s">
        <v>1240</v>
      </c>
      <c r="F274" s="2" t="s">
        <v>1249</v>
      </c>
      <c r="G274" s="2" t="s">
        <v>1250</v>
      </c>
      <c r="H274" s="2" t="s">
        <v>21</v>
      </c>
      <c r="I274" s="2" t="s">
        <v>1251</v>
      </c>
      <c r="J274" s="2" t="s">
        <v>1252</v>
      </c>
      <c r="K274" s="2" t="s">
        <v>1245</v>
      </c>
      <c r="L274" s="2"/>
      <c r="M274" s="2"/>
      <c r="N274" s="2" t="str">
        <f t="shared" si="8"/>
        <v/>
      </c>
      <c r="O274" s="2"/>
      <c r="P274" s="2"/>
      <c r="Q274" s="2"/>
      <c r="R274" s="2"/>
      <c r="S274" s="2" t="s">
        <v>128</v>
      </c>
      <c r="T274" s="2"/>
      <c r="U274" s="2"/>
      <c r="V274" s="2" t="str">
        <f t="shared" si="9"/>
        <v/>
      </c>
      <c r="W274" t="str">
        <f>IF($P274="是",COUNTIF($P$2:$P274,"是"),"")</f>
        <v/>
      </c>
    </row>
    <row r="275" spans="1:23" ht="27.75">
      <c r="A275" s="2" t="s">
        <v>905</v>
      </c>
      <c r="B275" s="2" t="s">
        <v>1237</v>
      </c>
      <c r="C275" s="2" t="s">
        <v>1238</v>
      </c>
      <c r="D275" s="2" t="s">
        <v>1239</v>
      </c>
      <c r="E275" s="2" t="s">
        <v>1240</v>
      </c>
      <c r="F275" s="2" t="s">
        <v>1253</v>
      </c>
      <c r="G275" s="2" t="s">
        <v>1254</v>
      </c>
      <c r="H275" s="2" t="s">
        <v>24</v>
      </c>
      <c r="I275" s="2" t="s">
        <v>1255</v>
      </c>
      <c r="J275" s="2" t="s">
        <v>1256</v>
      </c>
      <c r="K275" s="2" t="s">
        <v>1245</v>
      </c>
      <c r="L275" s="2"/>
      <c r="M275" s="2"/>
      <c r="N275" s="2" t="str">
        <f t="shared" si="8"/>
        <v/>
      </c>
      <c r="O275" s="2"/>
      <c r="P275" s="2"/>
      <c r="Q275" s="2"/>
      <c r="R275" s="2"/>
      <c r="S275" s="2" t="s">
        <v>128</v>
      </c>
      <c r="T275" s="2"/>
      <c r="U275" s="2"/>
      <c r="V275" s="2" t="str">
        <f t="shared" si="9"/>
        <v/>
      </c>
      <c r="W275" t="str">
        <f>IF($P275="是",COUNTIF($P$2:$P275,"是"),"")</f>
        <v/>
      </c>
    </row>
    <row r="276" spans="1:23" ht="27.75">
      <c r="A276" s="2" t="s">
        <v>905</v>
      </c>
      <c r="B276" s="2" t="s">
        <v>1237</v>
      </c>
      <c r="C276" s="2" t="s">
        <v>1238</v>
      </c>
      <c r="D276" s="2" t="s">
        <v>1239</v>
      </c>
      <c r="E276" s="2" t="s">
        <v>1240</v>
      </c>
      <c r="F276" s="2" t="s">
        <v>1257</v>
      </c>
      <c r="G276" s="2" t="s">
        <v>1258</v>
      </c>
      <c r="H276" s="2" t="s">
        <v>27</v>
      </c>
      <c r="I276" s="2" t="s">
        <v>1255</v>
      </c>
      <c r="J276" s="2" t="s">
        <v>1259</v>
      </c>
      <c r="K276" s="2" t="s">
        <v>625</v>
      </c>
      <c r="L276" s="2"/>
      <c r="M276" s="2"/>
      <c r="N276" s="2" t="str">
        <f t="shared" si="8"/>
        <v/>
      </c>
      <c r="O276" s="2"/>
      <c r="P276" s="2"/>
      <c r="Q276" s="2"/>
      <c r="R276" s="2"/>
      <c r="S276" s="2" t="s">
        <v>128</v>
      </c>
      <c r="T276" s="2"/>
      <c r="U276" s="2"/>
      <c r="V276" s="2" t="str">
        <f t="shared" si="9"/>
        <v/>
      </c>
      <c r="W276" t="str">
        <f>IF($P276="是",COUNTIF($P$2:$P276,"是"),"")</f>
        <v/>
      </c>
    </row>
    <row r="277" spans="1:23" ht="27.75">
      <c r="A277" s="2" t="s">
        <v>905</v>
      </c>
      <c r="B277" s="2" t="s">
        <v>1237</v>
      </c>
      <c r="C277" s="2" t="s">
        <v>1238</v>
      </c>
      <c r="D277" s="2" t="s">
        <v>1260</v>
      </c>
      <c r="E277" s="2" t="s">
        <v>1261</v>
      </c>
      <c r="F277" s="2" t="s">
        <v>1262</v>
      </c>
      <c r="G277" s="2" t="s">
        <v>1263</v>
      </c>
      <c r="H277" s="2" t="s">
        <v>21</v>
      </c>
      <c r="I277" s="2" t="s">
        <v>1264</v>
      </c>
      <c r="J277" s="2" t="s">
        <v>1265</v>
      </c>
      <c r="K277" s="2" t="s">
        <v>1245</v>
      </c>
      <c r="L277" s="2"/>
      <c r="M277" s="2"/>
      <c r="N277" s="2" t="str">
        <f t="shared" si="8"/>
        <v/>
      </c>
      <c r="O277" s="2"/>
      <c r="P277" s="2"/>
      <c r="Q277" s="2"/>
      <c r="R277" s="2"/>
      <c r="S277" s="2" t="s">
        <v>128</v>
      </c>
      <c r="T277" s="2"/>
      <c r="U277" s="2"/>
      <c r="V277" s="2" t="str">
        <f t="shared" si="9"/>
        <v/>
      </c>
      <c r="W277" t="str">
        <f>IF($P277="是",COUNTIF($P$2:$P277,"是"),"")</f>
        <v/>
      </c>
    </row>
    <row r="278" spans="1:23" ht="27.75">
      <c r="A278" s="2" t="s">
        <v>905</v>
      </c>
      <c r="B278" s="2" t="s">
        <v>1237</v>
      </c>
      <c r="C278" s="2" t="s">
        <v>1238</v>
      </c>
      <c r="D278" s="2" t="s">
        <v>1260</v>
      </c>
      <c r="E278" s="2" t="s">
        <v>1261</v>
      </c>
      <c r="F278" s="2" t="s">
        <v>1266</v>
      </c>
      <c r="G278" s="2" t="s">
        <v>1267</v>
      </c>
      <c r="H278" s="2" t="s">
        <v>21</v>
      </c>
      <c r="I278" s="2" t="s">
        <v>1268</v>
      </c>
      <c r="J278" s="2" t="s">
        <v>1269</v>
      </c>
      <c r="K278" s="2" t="s">
        <v>1245</v>
      </c>
      <c r="L278" s="2"/>
      <c r="M278" s="2"/>
      <c r="N278" s="2" t="str">
        <f t="shared" si="8"/>
        <v/>
      </c>
      <c r="O278" s="2"/>
      <c r="P278" s="2"/>
      <c r="Q278" s="2"/>
      <c r="R278" s="2"/>
      <c r="S278" s="2" t="s">
        <v>128</v>
      </c>
      <c r="T278" s="2"/>
      <c r="U278" s="2"/>
      <c r="V278" s="2" t="str">
        <f t="shared" si="9"/>
        <v/>
      </c>
      <c r="W278" t="str">
        <f>IF($P278="是",COUNTIF($P$2:$P278,"是"),"")</f>
        <v/>
      </c>
    </row>
    <row r="279" spans="1:23" ht="27.75">
      <c r="A279" s="2" t="s">
        <v>905</v>
      </c>
      <c r="B279" s="2" t="s">
        <v>1237</v>
      </c>
      <c r="C279" s="2" t="s">
        <v>1238</v>
      </c>
      <c r="D279" s="2" t="s">
        <v>1260</v>
      </c>
      <c r="E279" s="2" t="s">
        <v>1261</v>
      </c>
      <c r="F279" s="2" t="s">
        <v>1270</v>
      </c>
      <c r="G279" s="2" t="s">
        <v>1271</v>
      </c>
      <c r="H279" s="2" t="s">
        <v>24</v>
      </c>
      <c r="I279" s="2" t="s">
        <v>1272</v>
      </c>
      <c r="J279" s="2" t="s">
        <v>1273</v>
      </c>
      <c r="K279" s="2" t="s">
        <v>914</v>
      </c>
      <c r="L279" s="2"/>
      <c r="M279" s="2"/>
      <c r="N279" s="2" t="str">
        <f t="shared" si="8"/>
        <v/>
      </c>
      <c r="O279" s="2"/>
      <c r="P279" s="2"/>
      <c r="Q279" s="2"/>
      <c r="R279" s="2"/>
      <c r="S279" s="2" t="s">
        <v>128</v>
      </c>
      <c r="T279" s="2"/>
      <c r="U279" s="2"/>
      <c r="V279" s="2" t="str">
        <f t="shared" si="9"/>
        <v/>
      </c>
      <c r="W279" t="str">
        <f>IF($P279="是",COUNTIF($P$2:$P279,"是"),"")</f>
        <v/>
      </c>
    </row>
    <row r="280" spans="1:23" ht="27.75">
      <c r="A280" s="2" t="s">
        <v>905</v>
      </c>
      <c r="B280" s="2" t="s">
        <v>1237</v>
      </c>
      <c r="C280" s="2" t="s">
        <v>1238</v>
      </c>
      <c r="D280" s="2" t="s">
        <v>1260</v>
      </c>
      <c r="E280" s="2" t="s">
        <v>1261</v>
      </c>
      <c r="F280" s="2" t="s">
        <v>1274</v>
      </c>
      <c r="G280" s="2" t="s">
        <v>1275</v>
      </c>
      <c r="H280" s="2" t="s">
        <v>24</v>
      </c>
      <c r="I280" s="2" t="s">
        <v>1276</v>
      </c>
      <c r="J280" s="2" t="s">
        <v>1277</v>
      </c>
      <c r="K280" s="2" t="s">
        <v>625</v>
      </c>
      <c r="L280" s="2"/>
      <c r="M280" s="2"/>
      <c r="N280" s="2" t="str">
        <f t="shared" si="8"/>
        <v/>
      </c>
      <c r="O280" s="2"/>
      <c r="P280" s="2"/>
      <c r="Q280" s="2"/>
      <c r="R280" s="2"/>
      <c r="S280" s="2" t="s">
        <v>128</v>
      </c>
      <c r="T280" s="2"/>
      <c r="U280" s="2"/>
      <c r="V280" s="2" t="str">
        <f t="shared" si="9"/>
        <v/>
      </c>
      <c r="W280" t="str">
        <f>IF($P280="是",COUNTIF($P$2:$P280,"是"),"")</f>
        <v/>
      </c>
    </row>
    <row r="281" spans="1:23" ht="27.75">
      <c r="A281" s="2" t="s">
        <v>905</v>
      </c>
      <c r="B281" s="2" t="s">
        <v>1237</v>
      </c>
      <c r="C281" s="2" t="s">
        <v>1238</v>
      </c>
      <c r="D281" s="2" t="s">
        <v>1260</v>
      </c>
      <c r="E281" s="2" t="s">
        <v>1261</v>
      </c>
      <c r="F281" s="2" t="s">
        <v>1278</v>
      </c>
      <c r="G281" s="2" t="s">
        <v>1279</v>
      </c>
      <c r="H281" s="2" t="s">
        <v>27</v>
      </c>
      <c r="I281" s="2" t="s">
        <v>1280</v>
      </c>
      <c r="J281" s="2" t="s">
        <v>1281</v>
      </c>
      <c r="K281" s="2" t="s">
        <v>625</v>
      </c>
      <c r="L281" s="2"/>
      <c r="M281" s="2"/>
      <c r="N281" s="2" t="str">
        <f t="shared" si="8"/>
        <v/>
      </c>
      <c r="O281" s="2"/>
      <c r="P281" s="2"/>
      <c r="Q281" s="2"/>
      <c r="R281" s="2"/>
      <c r="S281" s="2" t="s">
        <v>128</v>
      </c>
      <c r="T281" s="2"/>
      <c r="U281" s="2"/>
      <c r="V281" s="2" t="str">
        <f t="shared" si="9"/>
        <v/>
      </c>
      <c r="W281" t="str">
        <f>IF($P281="是",COUNTIF($P$2:$P281,"是"),"")</f>
        <v/>
      </c>
    </row>
    <row r="282" spans="1:23" ht="27.75">
      <c r="A282" s="2" t="s">
        <v>905</v>
      </c>
      <c r="B282" s="2" t="s">
        <v>1237</v>
      </c>
      <c r="C282" s="2" t="s">
        <v>1238</v>
      </c>
      <c r="D282" s="2" t="s">
        <v>1282</v>
      </c>
      <c r="E282" s="2" t="s">
        <v>1283</v>
      </c>
      <c r="F282" s="2" t="s">
        <v>1284</v>
      </c>
      <c r="G282" s="2" t="s">
        <v>1285</v>
      </c>
      <c r="H282" s="2" t="s">
        <v>21</v>
      </c>
      <c r="I282" s="2" t="s">
        <v>1286</v>
      </c>
      <c r="J282" s="2" t="s">
        <v>1287</v>
      </c>
      <c r="K282" s="2" t="s">
        <v>625</v>
      </c>
      <c r="L282" s="2"/>
      <c r="M282" s="2"/>
      <c r="N282" s="2" t="str">
        <f t="shared" si="8"/>
        <v/>
      </c>
      <c r="O282" s="2"/>
      <c r="P282" s="2"/>
      <c r="Q282" s="2"/>
      <c r="R282" s="2"/>
      <c r="S282" s="2" t="s">
        <v>128</v>
      </c>
      <c r="T282" s="2"/>
      <c r="U282" s="2"/>
      <c r="V282" s="2" t="str">
        <f t="shared" si="9"/>
        <v/>
      </c>
      <c r="W282" t="str">
        <f>IF($P282="是",COUNTIF($P$2:$P282,"是"),"")</f>
        <v/>
      </c>
    </row>
    <row r="283" spans="1:23" ht="27.75">
      <c r="A283" s="2" t="s">
        <v>905</v>
      </c>
      <c r="B283" s="2" t="s">
        <v>1237</v>
      </c>
      <c r="C283" s="2" t="s">
        <v>1238</v>
      </c>
      <c r="D283" s="2" t="s">
        <v>1282</v>
      </c>
      <c r="E283" s="2" t="s">
        <v>1283</v>
      </c>
      <c r="F283" s="2" t="s">
        <v>1288</v>
      </c>
      <c r="G283" s="2" t="s">
        <v>1289</v>
      </c>
      <c r="H283" s="2" t="s">
        <v>21</v>
      </c>
      <c r="I283" s="2" t="s">
        <v>1290</v>
      </c>
      <c r="J283" s="2" t="s">
        <v>1291</v>
      </c>
      <c r="K283" s="2" t="s">
        <v>625</v>
      </c>
      <c r="L283" s="2"/>
      <c r="M283" s="2"/>
      <c r="N283" s="2" t="str">
        <f t="shared" si="8"/>
        <v/>
      </c>
      <c r="O283" s="2"/>
      <c r="P283" s="2"/>
      <c r="Q283" s="2"/>
      <c r="R283" s="2"/>
      <c r="S283" s="2" t="s">
        <v>128</v>
      </c>
      <c r="T283" s="2"/>
      <c r="U283" s="2"/>
      <c r="V283" s="2" t="str">
        <f t="shared" si="9"/>
        <v/>
      </c>
      <c r="W283" t="str">
        <f>IF($P283="是",COUNTIF($P$2:$P283,"是"),"")</f>
        <v/>
      </c>
    </row>
    <row r="284" spans="1:23" ht="27.75">
      <c r="A284" s="2" t="s">
        <v>905</v>
      </c>
      <c r="B284" s="2" t="s">
        <v>1237</v>
      </c>
      <c r="C284" s="2" t="s">
        <v>1238</v>
      </c>
      <c r="D284" s="2" t="s">
        <v>1282</v>
      </c>
      <c r="E284" s="2" t="s">
        <v>1283</v>
      </c>
      <c r="F284" s="2" t="s">
        <v>1292</v>
      </c>
      <c r="G284" s="2" t="s">
        <v>1293</v>
      </c>
      <c r="H284" s="2" t="s">
        <v>21</v>
      </c>
      <c r="I284" s="2" t="s">
        <v>1290</v>
      </c>
      <c r="J284" s="2" t="s">
        <v>1294</v>
      </c>
      <c r="K284" s="2" t="s">
        <v>625</v>
      </c>
      <c r="L284" s="2"/>
      <c r="M284" s="2"/>
      <c r="N284" s="2" t="str">
        <f t="shared" si="8"/>
        <v/>
      </c>
      <c r="O284" s="2"/>
      <c r="P284" s="2"/>
      <c r="Q284" s="2"/>
      <c r="R284" s="2"/>
      <c r="S284" s="2" t="s">
        <v>128</v>
      </c>
      <c r="T284" s="2"/>
      <c r="U284" s="2"/>
      <c r="V284" s="2" t="str">
        <f t="shared" si="9"/>
        <v/>
      </c>
      <c r="W284" t="str">
        <f>IF($P284="是",COUNTIF($P$2:$P284,"是"),"")</f>
        <v/>
      </c>
    </row>
    <row r="285" spans="1:23" ht="27.75">
      <c r="A285" s="2" t="s">
        <v>905</v>
      </c>
      <c r="B285" s="2" t="s">
        <v>1237</v>
      </c>
      <c r="C285" s="2" t="s">
        <v>1238</v>
      </c>
      <c r="D285" s="2" t="s">
        <v>1282</v>
      </c>
      <c r="E285" s="2" t="s">
        <v>1283</v>
      </c>
      <c r="F285" s="2" t="s">
        <v>1295</v>
      </c>
      <c r="G285" s="2" t="s">
        <v>1296</v>
      </c>
      <c r="H285" s="2" t="s">
        <v>24</v>
      </c>
      <c r="I285" s="2" t="s">
        <v>1297</v>
      </c>
      <c r="J285" s="2" t="s">
        <v>1298</v>
      </c>
      <c r="K285" s="2" t="s">
        <v>630</v>
      </c>
      <c r="L285" s="2"/>
      <c r="M285" s="2"/>
      <c r="N285" s="2" t="str">
        <f t="shared" si="8"/>
        <v/>
      </c>
      <c r="O285" s="2"/>
      <c r="P285" s="2"/>
      <c r="Q285" s="2"/>
      <c r="R285" s="2"/>
      <c r="S285" s="2" t="s">
        <v>128</v>
      </c>
      <c r="T285" s="2"/>
      <c r="U285" s="2"/>
      <c r="V285" s="2" t="str">
        <f t="shared" si="9"/>
        <v/>
      </c>
      <c r="W285" t="str">
        <f>IF($P285="是",COUNTIF($P$2:$P285,"是"),"")</f>
        <v/>
      </c>
    </row>
    <row r="286" spans="1:23" ht="27.75">
      <c r="A286" s="2" t="s">
        <v>905</v>
      </c>
      <c r="B286" s="2" t="s">
        <v>1237</v>
      </c>
      <c r="C286" s="2" t="s">
        <v>1238</v>
      </c>
      <c r="D286" s="2" t="s">
        <v>1282</v>
      </c>
      <c r="E286" s="2" t="s">
        <v>1283</v>
      </c>
      <c r="F286" s="2" t="s">
        <v>1299</v>
      </c>
      <c r="G286" s="2" t="s">
        <v>1300</v>
      </c>
      <c r="H286" s="2" t="s">
        <v>27</v>
      </c>
      <c r="I286" s="2" t="s">
        <v>1297</v>
      </c>
      <c r="J286" s="2" t="s">
        <v>1301</v>
      </c>
      <c r="K286" s="2" t="s">
        <v>769</v>
      </c>
      <c r="L286" s="2"/>
      <c r="M286" s="2"/>
      <c r="N286" s="2" t="str">
        <f t="shared" si="8"/>
        <v/>
      </c>
      <c r="O286" s="2"/>
      <c r="P286" s="2"/>
      <c r="Q286" s="2"/>
      <c r="R286" s="2"/>
      <c r="S286" s="2" t="s">
        <v>128</v>
      </c>
      <c r="T286" s="2"/>
      <c r="U286" s="2"/>
      <c r="V286" s="2" t="str">
        <f t="shared" si="9"/>
        <v/>
      </c>
      <c r="W286" t="str">
        <f>IF($P286="是",COUNTIF($P$2:$P286,"是"),"")</f>
        <v/>
      </c>
    </row>
    <row r="287" spans="1:23" ht="27.75">
      <c r="A287" s="2" t="s">
        <v>905</v>
      </c>
      <c r="B287" s="2" t="s">
        <v>1237</v>
      </c>
      <c r="C287" s="2" t="s">
        <v>1238</v>
      </c>
      <c r="D287" s="2" t="s">
        <v>1302</v>
      </c>
      <c r="E287" s="2" t="s">
        <v>1303</v>
      </c>
      <c r="F287" s="2" t="s">
        <v>1304</v>
      </c>
      <c r="G287" s="2" t="s">
        <v>1305</v>
      </c>
      <c r="H287" s="2" t="s">
        <v>21</v>
      </c>
      <c r="I287" s="2" t="s">
        <v>1276</v>
      </c>
      <c r="J287" s="2" t="s">
        <v>1306</v>
      </c>
      <c r="K287" s="2" t="s">
        <v>1245</v>
      </c>
      <c r="L287" s="2"/>
      <c r="M287" s="2"/>
      <c r="N287" s="2" t="str">
        <f t="shared" si="8"/>
        <v/>
      </c>
      <c r="O287" s="2"/>
      <c r="P287" s="2"/>
      <c r="Q287" s="2"/>
      <c r="R287" s="2"/>
      <c r="S287" s="2" t="s">
        <v>128</v>
      </c>
      <c r="T287" s="2"/>
      <c r="U287" s="2"/>
      <c r="V287" s="2" t="str">
        <f t="shared" si="9"/>
        <v/>
      </c>
      <c r="W287" t="str">
        <f>IF($P287="是",COUNTIF($P$2:$P287,"是"),"")</f>
        <v/>
      </c>
    </row>
    <row r="288" spans="1:23" ht="27.75">
      <c r="A288" s="2" t="s">
        <v>905</v>
      </c>
      <c r="B288" s="2" t="s">
        <v>1237</v>
      </c>
      <c r="C288" s="2" t="s">
        <v>1238</v>
      </c>
      <c r="D288" s="2" t="s">
        <v>1302</v>
      </c>
      <c r="E288" s="2" t="s">
        <v>1303</v>
      </c>
      <c r="F288" s="2" t="s">
        <v>1307</v>
      </c>
      <c r="G288" s="2" t="s">
        <v>1308</v>
      </c>
      <c r="H288" s="2" t="s">
        <v>21</v>
      </c>
      <c r="I288" s="2" t="s">
        <v>1276</v>
      </c>
      <c r="J288" s="2" t="s">
        <v>1309</v>
      </c>
      <c r="K288" s="2" t="s">
        <v>1245</v>
      </c>
      <c r="L288" s="2"/>
      <c r="M288" s="2"/>
      <c r="N288" s="2" t="str">
        <f t="shared" si="8"/>
        <v/>
      </c>
      <c r="O288" s="2"/>
      <c r="P288" s="2"/>
      <c r="Q288" s="2"/>
      <c r="R288" s="2"/>
      <c r="S288" s="2" t="s">
        <v>128</v>
      </c>
      <c r="T288" s="2"/>
      <c r="U288" s="2"/>
      <c r="V288" s="2" t="str">
        <f t="shared" si="9"/>
        <v/>
      </c>
      <c r="W288" t="str">
        <f>IF($P288="是",COUNTIF($P$2:$P288,"是"),"")</f>
        <v/>
      </c>
    </row>
    <row r="289" spans="1:23" ht="27.75">
      <c r="A289" s="2" t="s">
        <v>905</v>
      </c>
      <c r="B289" s="2" t="s">
        <v>1237</v>
      </c>
      <c r="C289" s="2" t="s">
        <v>1238</v>
      </c>
      <c r="D289" s="2" t="s">
        <v>1302</v>
      </c>
      <c r="E289" s="2" t="s">
        <v>1303</v>
      </c>
      <c r="F289" s="2" t="s">
        <v>1310</v>
      </c>
      <c r="G289" s="2" t="s">
        <v>1311</v>
      </c>
      <c r="H289" s="2" t="s">
        <v>24</v>
      </c>
      <c r="I289" s="2" t="s">
        <v>1276</v>
      </c>
      <c r="J289" s="2" t="s">
        <v>1312</v>
      </c>
      <c r="K289" s="2" t="s">
        <v>625</v>
      </c>
      <c r="L289" s="2"/>
      <c r="M289" s="2"/>
      <c r="N289" s="2" t="str">
        <f t="shared" si="8"/>
        <v/>
      </c>
      <c r="O289" s="2"/>
      <c r="P289" s="2"/>
      <c r="Q289" s="2"/>
      <c r="R289" s="2"/>
      <c r="S289" s="2" t="s">
        <v>128</v>
      </c>
      <c r="T289" s="2"/>
      <c r="U289" s="2"/>
      <c r="V289" s="2" t="str">
        <f t="shared" si="9"/>
        <v/>
      </c>
      <c r="W289" t="str">
        <f>IF($P289="是",COUNTIF($P$2:$P289,"是"),"")</f>
        <v/>
      </c>
    </row>
    <row r="290" spans="1:23" ht="27.75">
      <c r="A290" s="2" t="s">
        <v>905</v>
      </c>
      <c r="B290" s="2" t="s">
        <v>1237</v>
      </c>
      <c r="C290" s="2" t="s">
        <v>1238</v>
      </c>
      <c r="D290" s="2" t="s">
        <v>1302</v>
      </c>
      <c r="E290" s="2" t="s">
        <v>1303</v>
      </c>
      <c r="F290" s="2" t="s">
        <v>1313</v>
      </c>
      <c r="G290" s="2" t="s">
        <v>1314</v>
      </c>
      <c r="H290" s="2" t="s">
        <v>24</v>
      </c>
      <c r="I290" s="2" t="s">
        <v>1315</v>
      </c>
      <c r="J290" s="2" t="s">
        <v>1316</v>
      </c>
      <c r="K290" s="2" t="s">
        <v>625</v>
      </c>
      <c r="L290" s="2"/>
      <c r="M290" s="2"/>
      <c r="N290" s="2" t="str">
        <f t="shared" si="8"/>
        <v/>
      </c>
      <c r="O290" s="2"/>
      <c r="P290" s="2"/>
      <c r="Q290" s="2"/>
      <c r="R290" s="2"/>
      <c r="S290" s="2" t="s">
        <v>128</v>
      </c>
      <c r="T290" s="2"/>
      <c r="U290" s="2"/>
      <c r="V290" s="2" t="str">
        <f t="shared" si="9"/>
        <v/>
      </c>
      <c r="W290" t="str">
        <f>IF($P290="是",COUNTIF($P$2:$P290,"是"),"")</f>
        <v/>
      </c>
    </row>
    <row r="291" spans="1:23" ht="27.75">
      <c r="A291" s="2" t="s">
        <v>905</v>
      </c>
      <c r="B291" s="2" t="s">
        <v>1237</v>
      </c>
      <c r="C291" s="2" t="s">
        <v>1238</v>
      </c>
      <c r="D291" s="2" t="s">
        <v>1302</v>
      </c>
      <c r="E291" s="2" t="s">
        <v>1303</v>
      </c>
      <c r="F291" s="2" t="s">
        <v>1317</v>
      </c>
      <c r="G291" s="2" t="s">
        <v>1318</v>
      </c>
      <c r="H291" s="2" t="s">
        <v>27</v>
      </c>
      <c r="I291" s="2" t="s">
        <v>1276</v>
      </c>
      <c r="J291" s="2" t="s">
        <v>1319</v>
      </c>
      <c r="K291" s="2" t="s">
        <v>625</v>
      </c>
      <c r="L291" s="2"/>
      <c r="M291" s="2"/>
      <c r="N291" s="2" t="str">
        <f t="shared" si="8"/>
        <v/>
      </c>
      <c r="O291" s="2"/>
      <c r="P291" s="2"/>
      <c r="Q291" s="2"/>
      <c r="R291" s="2"/>
      <c r="S291" s="2" t="s">
        <v>128</v>
      </c>
      <c r="T291" s="2"/>
      <c r="U291" s="2"/>
      <c r="V291" s="2" t="str">
        <f t="shared" si="9"/>
        <v/>
      </c>
      <c r="W291" t="str">
        <f>IF($P291="是",COUNTIF($P$2:$P291,"是"),"")</f>
        <v/>
      </c>
    </row>
    <row r="292" spans="1:23" ht="27.75">
      <c r="A292" s="2" t="s">
        <v>905</v>
      </c>
      <c r="B292" s="2" t="s">
        <v>1237</v>
      </c>
      <c r="C292" s="2" t="s">
        <v>1238</v>
      </c>
      <c r="D292" s="2" t="s">
        <v>1320</v>
      </c>
      <c r="E292" s="2" t="s">
        <v>1321</v>
      </c>
      <c r="F292" s="2" t="s">
        <v>1322</v>
      </c>
      <c r="G292" s="2" t="s">
        <v>1323</v>
      </c>
      <c r="H292" s="2" t="s">
        <v>21</v>
      </c>
      <c r="I292" s="2" t="s">
        <v>1315</v>
      </c>
      <c r="J292" s="2" t="s">
        <v>1324</v>
      </c>
      <c r="K292" s="2" t="s">
        <v>1245</v>
      </c>
      <c r="L292" s="2"/>
      <c r="M292" s="2"/>
      <c r="N292" s="2" t="str">
        <f t="shared" si="8"/>
        <v/>
      </c>
      <c r="O292" s="2"/>
      <c r="P292" s="2"/>
      <c r="Q292" s="2"/>
      <c r="R292" s="2"/>
      <c r="S292" s="2" t="s">
        <v>128</v>
      </c>
      <c r="T292" s="2"/>
      <c r="U292" s="2"/>
      <c r="V292" s="2" t="str">
        <f t="shared" si="9"/>
        <v/>
      </c>
      <c r="W292" t="str">
        <f>IF($P292="是",COUNTIF($P$2:$P292,"是"),"")</f>
        <v/>
      </c>
    </row>
    <row r="293" spans="1:23" ht="27.75">
      <c r="A293" s="2" t="s">
        <v>905</v>
      </c>
      <c r="B293" s="2" t="s">
        <v>1237</v>
      </c>
      <c r="C293" s="2" t="s">
        <v>1238</v>
      </c>
      <c r="D293" s="2" t="s">
        <v>1320</v>
      </c>
      <c r="E293" s="2" t="s">
        <v>1321</v>
      </c>
      <c r="F293" s="2" t="s">
        <v>1325</v>
      </c>
      <c r="G293" s="2" t="s">
        <v>1326</v>
      </c>
      <c r="H293" s="2" t="s">
        <v>21</v>
      </c>
      <c r="I293" s="2" t="s">
        <v>1264</v>
      </c>
      <c r="J293" s="2" t="s">
        <v>1327</v>
      </c>
      <c r="K293" s="2" t="s">
        <v>625</v>
      </c>
      <c r="L293" s="2"/>
      <c r="M293" s="2"/>
      <c r="N293" s="2" t="str">
        <f t="shared" si="8"/>
        <v/>
      </c>
      <c r="O293" s="2"/>
      <c r="P293" s="2"/>
      <c r="Q293" s="2"/>
      <c r="R293" s="2"/>
      <c r="S293" s="2" t="s">
        <v>128</v>
      </c>
      <c r="T293" s="2"/>
      <c r="U293" s="2"/>
      <c r="V293" s="2" t="str">
        <f t="shared" si="9"/>
        <v/>
      </c>
      <c r="W293" t="str">
        <f>IF($P293="是",COUNTIF($P$2:$P293,"是"),"")</f>
        <v/>
      </c>
    </row>
    <row r="294" spans="1:23" ht="27.75">
      <c r="A294" s="2" t="s">
        <v>905</v>
      </c>
      <c r="B294" s="2" t="s">
        <v>1237</v>
      </c>
      <c r="C294" s="2" t="s">
        <v>1238</v>
      </c>
      <c r="D294" s="2" t="s">
        <v>1320</v>
      </c>
      <c r="E294" s="2" t="s">
        <v>1321</v>
      </c>
      <c r="F294" s="2" t="s">
        <v>1328</v>
      </c>
      <c r="G294" s="2" t="s">
        <v>1329</v>
      </c>
      <c r="H294" s="2" t="s">
        <v>24</v>
      </c>
      <c r="I294" s="2" t="s">
        <v>1297</v>
      </c>
      <c r="J294" s="2" t="s">
        <v>1330</v>
      </c>
      <c r="K294" s="2" t="s">
        <v>824</v>
      </c>
      <c r="L294" s="2"/>
      <c r="M294" s="2"/>
      <c r="N294" s="2" t="str">
        <f t="shared" si="8"/>
        <v/>
      </c>
      <c r="O294" s="2"/>
      <c r="P294" s="2"/>
      <c r="Q294" s="2"/>
      <c r="R294" s="2"/>
      <c r="S294" s="2" t="s">
        <v>128</v>
      </c>
      <c r="T294" s="2"/>
      <c r="U294" s="2"/>
      <c r="V294" s="2" t="str">
        <f t="shared" si="9"/>
        <v/>
      </c>
      <c r="W294" t="str">
        <f>IF($P294="是",COUNTIF($P$2:$P294,"是"),"")</f>
        <v/>
      </c>
    </row>
    <row r="295" spans="1:23" ht="27.75">
      <c r="A295" s="2" t="s">
        <v>905</v>
      </c>
      <c r="B295" s="2" t="s">
        <v>1237</v>
      </c>
      <c r="C295" s="2" t="s">
        <v>1238</v>
      </c>
      <c r="D295" s="2" t="s">
        <v>1320</v>
      </c>
      <c r="E295" s="2" t="s">
        <v>1321</v>
      </c>
      <c r="F295" s="2" t="s">
        <v>1331</v>
      </c>
      <c r="G295" s="2" t="s">
        <v>1332</v>
      </c>
      <c r="H295" s="2" t="s">
        <v>27</v>
      </c>
      <c r="I295" s="2" t="s">
        <v>1315</v>
      </c>
      <c r="J295" s="2" t="s">
        <v>1333</v>
      </c>
      <c r="K295" s="2" t="s">
        <v>824</v>
      </c>
      <c r="L295" s="2"/>
      <c r="M295" s="2"/>
      <c r="N295" s="2" t="str">
        <f t="shared" si="8"/>
        <v/>
      </c>
      <c r="O295" s="2"/>
      <c r="P295" s="2"/>
      <c r="Q295" s="2"/>
      <c r="R295" s="2"/>
      <c r="S295" s="2" t="s">
        <v>128</v>
      </c>
      <c r="T295" s="2"/>
      <c r="U295" s="2"/>
      <c r="V295" s="2" t="str">
        <f t="shared" si="9"/>
        <v/>
      </c>
      <c r="W295" t="str">
        <f>IF($P295="是",COUNTIF($P$2:$P295,"是"),"")</f>
        <v/>
      </c>
    </row>
    <row r="296" spans="1:23" ht="27.75">
      <c r="A296" s="2" t="s">
        <v>905</v>
      </c>
      <c r="B296" s="2" t="s">
        <v>1237</v>
      </c>
      <c r="C296" s="2" t="s">
        <v>1238</v>
      </c>
      <c r="D296" s="2" t="s">
        <v>1320</v>
      </c>
      <c r="E296" s="2" t="s">
        <v>1321</v>
      </c>
      <c r="F296" s="2" t="s">
        <v>1334</v>
      </c>
      <c r="G296" s="2" t="s">
        <v>1335</v>
      </c>
      <c r="H296" s="2" t="s">
        <v>249</v>
      </c>
      <c r="I296" s="2" t="s">
        <v>1315</v>
      </c>
      <c r="J296" s="2" t="s">
        <v>1336</v>
      </c>
      <c r="K296" s="2" t="s">
        <v>639</v>
      </c>
      <c r="L296" s="2"/>
      <c r="M296" s="2"/>
      <c r="N296" s="2" t="str">
        <f t="shared" si="8"/>
        <v/>
      </c>
      <c r="O296" s="2"/>
      <c r="P296" s="2"/>
      <c r="Q296" s="2"/>
      <c r="R296" s="2"/>
      <c r="S296" s="2" t="s">
        <v>128</v>
      </c>
      <c r="T296" s="2"/>
      <c r="U296" s="2"/>
      <c r="V296" s="2" t="str">
        <f t="shared" si="9"/>
        <v/>
      </c>
      <c r="W296" t="str">
        <f>IF($P296="是",COUNTIF($P$2:$P296,"是"),"")</f>
        <v/>
      </c>
    </row>
    <row r="297" spans="1:23" ht="27.75">
      <c r="A297" s="2" t="s">
        <v>905</v>
      </c>
      <c r="B297" s="2" t="s">
        <v>1237</v>
      </c>
      <c r="C297" s="2" t="s">
        <v>1238</v>
      </c>
      <c r="D297" s="2" t="s">
        <v>1337</v>
      </c>
      <c r="E297" s="2" t="s">
        <v>1338</v>
      </c>
      <c r="F297" s="2" t="s">
        <v>1339</v>
      </c>
      <c r="G297" s="2" t="s">
        <v>1340</v>
      </c>
      <c r="H297" s="2" t="s">
        <v>21</v>
      </c>
      <c r="I297" s="2" t="s">
        <v>1341</v>
      </c>
      <c r="J297" s="2" t="s">
        <v>1342</v>
      </c>
      <c r="K297" s="2" t="s">
        <v>1245</v>
      </c>
      <c r="L297" s="2"/>
      <c r="M297" s="2"/>
      <c r="N297" s="2" t="str">
        <f t="shared" si="8"/>
        <v/>
      </c>
      <c r="O297" s="2"/>
      <c r="P297" s="2"/>
      <c r="Q297" s="2"/>
      <c r="R297" s="2"/>
      <c r="S297" s="2" t="s">
        <v>128</v>
      </c>
      <c r="T297" s="2"/>
      <c r="U297" s="2"/>
      <c r="V297" s="2" t="str">
        <f t="shared" si="9"/>
        <v/>
      </c>
      <c r="W297" t="str">
        <f>IF($P297="是",COUNTIF($P$2:$P297,"是"),"")</f>
        <v/>
      </c>
    </row>
    <row r="298" spans="1:23" ht="27.75">
      <c r="A298" s="2" t="s">
        <v>905</v>
      </c>
      <c r="B298" s="2" t="s">
        <v>1237</v>
      </c>
      <c r="C298" s="2" t="s">
        <v>1238</v>
      </c>
      <c r="D298" s="2" t="s">
        <v>1337</v>
      </c>
      <c r="E298" s="2" t="s">
        <v>1338</v>
      </c>
      <c r="F298" s="2" t="s">
        <v>1343</v>
      </c>
      <c r="G298" s="2" t="s">
        <v>1344</v>
      </c>
      <c r="H298" s="2" t="s">
        <v>21</v>
      </c>
      <c r="I298" s="2" t="s">
        <v>1345</v>
      </c>
      <c r="J298" s="2" t="s">
        <v>1346</v>
      </c>
      <c r="K298" s="2" t="s">
        <v>625</v>
      </c>
      <c r="L298" s="2"/>
      <c r="M298" s="2"/>
      <c r="N298" s="2" t="str">
        <f t="shared" si="8"/>
        <v/>
      </c>
      <c r="O298" s="2"/>
      <c r="P298" s="2"/>
      <c r="Q298" s="2"/>
      <c r="R298" s="2"/>
      <c r="S298" s="2" t="s">
        <v>128</v>
      </c>
      <c r="T298" s="2"/>
      <c r="U298" s="2"/>
      <c r="V298" s="2" t="str">
        <f t="shared" si="9"/>
        <v/>
      </c>
      <c r="W298" t="str">
        <f>IF($P298="是",COUNTIF($P$2:$P298,"是"),"")</f>
        <v/>
      </c>
    </row>
    <row r="299" spans="1:23" ht="27.75">
      <c r="A299" s="2" t="s">
        <v>905</v>
      </c>
      <c r="B299" s="2" t="s">
        <v>1237</v>
      </c>
      <c r="C299" s="2" t="s">
        <v>1238</v>
      </c>
      <c r="D299" s="2" t="s">
        <v>1337</v>
      </c>
      <c r="E299" s="2" t="s">
        <v>1338</v>
      </c>
      <c r="F299" s="2" t="s">
        <v>1347</v>
      </c>
      <c r="G299" s="2" t="s">
        <v>1348</v>
      </c>
      <c r="H299" s="2" t="s">
        <v>24</v>
      </c>
      <c r="I299" s="2" t="s">
        <v>1297</v>
      </c>
      <c r="J299" s="2" t="s">
        <v>1349</v>
      </c>
      <c r="K299" s="2" t="s">
        <v>824</v>
      </c>
      <c r="L299" s="2"/>
      <c r="M299" s="2"/>
      <c r="N299" s="2" t="str">
        <f t="shared" si="8"/>
        <v/>
      </c>
      <c r="O299" s="2"/>
      <c r="P299" s="2"/>
      <c r="Q299" s="2"/>
      <c r="R299" s="2"/>
      <c r="S299" s="2" t="s">
        <v>128</v>
      </c>
      <c r="T299" s="2"/>
      <c r="U299" s="2"/>
      <c r="V299" s="2" t="str">
        <f t="shared" si="9"/>
        <v/>
      </c>
      <c r="W299" t="str">
        <f>IF($P299="是",COUNTIF($P$2:$P299,"是"),"")</f>
        <v/>
      </c>
    </row>
    <row r="300" spans="1:23" ht="27.75">
      <c r="A300" s="2" t="s">
        <v>905</v>
      </c>
      <c r="B300" s="2" t="s">
        <v>1237</v>
      </c>
      <c r="C300" s="2" t="s">
        <v>1238</v>
      </c>
      <c r="D300" s="2" t="s">
        <v>1337</v>
      </c>
      <c r="E300" s="2" t="s">
        <v>1338</v>
      </c>
      <c r="F300" s="2" t="s">
        <v>1350</v>
      </c>
      <c r="G300" s="2" t="s">
        <v>1351</v>
      </c>
      <c r="H300" s="2" t="s">
        <v>27</v>
      </c>
      <c r="I300" s="2" t="s">
        <v>1297</v>
      </c>
      <c r="J300" s="2" t="s">
        <v>1352</v>
      </c>
      <c r="K300" s="2" t="s">
        <v>639</v>
      </c>
      <c r="L300" s="2"/>
      <c r="M300" s="2"/>
      <c r="N300" s="2" t="str">
        <f t="shared" si="8"/>
        <v/>
      </c>
      <c r="O300" s="2"/>
      <c r="P300" s="2"/>
      <c r="Q300" s="2"/>
      <c r="R300" s="2"/>
      <c r="S300" s="2" t="s">
        <v>128</v>
      </c>
      <c r="T300" s="2"/>
      <c r="U300" s="2"/>
      <c r="V300" s="2" t="str">
        <f t="shared" si="9"/>
        <v/>
      </c>
      <c r="W300" t="str">
        <f>IF($P300="是",COUNTIF($P$2:$P300,"是"),"")</f>
        <v/>
      </c>
    </row>
    <row r="301" spans="1:23" ht="27.75">
      <c r="A301" s="2" t="s">
        <v>905</v>
      </c>
      <c r="B301" s="2" t="s">
        <v>1237</v>
      </c>
      <c r="C301" s="2" t="s">
        <v>1238</v>
      </c>
      <c r="D301" s="2" t="s">
        <v>1337</v>
      </c>
      <c r="E301" s="2" t="s">
        <v>1338</v>
      </c>
      <c r="F301" s="2" t="s">
        <v>1353</v>
      </c>
      <c r="G301" s="2" t="s">
        <v>1354</v>
      </c>
      <c r="H301" s="2" t="s">
        <v>27</v>
      </c>
      <c r="I301" s="2" t="s">
        <v>1355</v>
      </c>
      <c r="J301" s="2" t="s">
        <v>1356</v>
      </c>
      <c r="K301" s="2" t="s">
        <v>824</v>
      </c>
      <c r="L301" s="2"/>
      <c r="M301" s="2"/>
      <c r="N301" s="2" t="str">
        <f t="shared" si="8"/>
        <v/>
      </c>
      <c r="O301" s="2"/>
      <c r="P301" s="2"/>
      <c r="Q301" s="2"/>
      <c r="R301" s="2"/>
      <c r="S301" s="2" t="s">
        <v>128</v>
      </c>
      <c r="T301" s="2"/>
      <c r="U301" s="2"/>
      <c r="V301" s="2" t="str">
        <f t="shared" si="9"/>
        <v/>
      </c>
      <c r="W301" t="str">
        <f>IF($P301="是",COUNTIF($P$2:$P301,"是"),"")</f>
        <v/>
      </c>
    </row>
    <row r="302" spans="1:23" ht="27.75">
      <c r="A302" s="2" t="s">
        <v>905</v>
      </c>
      <c r="B302" s="2" t="s">
        <v>1237</v>
      </c>
      <c r="C302" s="2" t="s">
        <v>1238</v>
      </c>
      <c r="D302" s="2" t="s">
        <v>1357</v>
      </c>
      <c r="E302" s="2" t="s">
        <v>1358</v>
      </c>
      <c r="F302" s="2" t="s">
        <v>1359</v>
      </c>
      <c r="G302" s="2" t="s">
        <v>1360</v>
      </c>
      <c r="H302" s="2" t="s">
        <v>21</v>
      </c>
      <c r="I302" s="2" t="s">
        <v>1361</v>
      </c>
      <c r="J302" s="2" t="s">
        <v>1362</v>
      </c>
      <c r="K302" s="2" t="s">
        <v>914</v>
      </c>
      <c r="L302" s="2"/>
      <c r="M302" s="2"/>
      <c r="N302" s="2" t="str">
        <f t="shared" si="8"/>
        <v/>
      </c>
      <c r="O302" s="2"/>
      <c r="P302" s="2"/>
      <c r="Q302" s="2"/>
      <c r="R302" s="2"/>
      <c r="S302" s="2" t="s">
        <v>128</v>
      </c>
      <c r="T302" s="2"/>
      <c r="U302" s="2"/>
      <c r="V302" s="2" t="str">
        <f t="shared" si="9"/>
        <v/>
      </c>
      <c r="W302" t="str">
        <f>IF($P302="是",COUNTIF($P$2:$P302,"是"),"")</f>
        <v/>
      </c>
    </row>
    <row r="303" spans="1:23" ht="27.75">
      <c r="A303" s="2" t="s">
        <v>905</v>
      </c>
      <c r="B303" s="2" t="s">
        <v>1237</v>
      </c>
      <c r="C303" s="2" t="s">
        <v>1238</v>
      </c>
      <c r="D303" s="2" t="s">
        <v>1357</v>
      </c>
      <c r="E303" s="2" t="s">
        <v>1358</v>
      </c>
      <c r="F303" s="2" t="s">
        <v>1363</v>
      </c>
      <c r="G303" s="2" t="s">
        <v>1364</v>
      </c>
      <c r="H303" s="2" t="s">
        <v>24</v>
      </c>
      <c r="I303" s="2" t="s">
        <v>1361</v>
      </c>
      <c r="J303" s="2" t="s">
        <v>1365</v>
      </c>
      <c r="K303" s="2" t="s">
        <v>630</v>
      </c>
      <c r="L303" s="2"/>
      <c r="M303" s="2"/>
      <c r="N303" s="2" t="str">
        <f t="shared" si="8"/>
        <v/>
      </c>
      <c r="O303" s="2"/>
      <c r="P303" s="2"/>
      <c r="Q303" s="2"/>
      <c r="R303" s="2"/>
      <c r="S303" s="2" t="s">
        <v>128</v>
      </c>
      <c r="T303" s="2"/>
      <c r="U303" s="2"/>
      <c r="V303" s="2" t="str">
        <f t="shared" si="9"/>
        <v/>
      </c>
      <c r="W303" t="str">
        <f>IF($P303="是",COUNTIF($P$2:$P303,"是"),"")</f>
        <v/>
      </c>
    </row>
    <row r="304" spans="1:23" ht="27.75">
      <c r="A304" s="2" t="s">
        <v>905</v>
      </c>
      <c r="B304" s="2" t="s">
        <v>1237</v>
      </c>
      <c r="C304" s="2" t="s">
        <v>1238</v>
      </c>
      <c r="D304" s="2" t="s">
        <v>1357</v>
      </c>
      <c r="E304" s="2" t="s">
        <v>1358</v>
      </c>
      <c r="F304" s="2" t="s">
        <v>1366</v>
      </c>
      <c r="G304" s="2" t="s">
        <v>1367</v>
      </c>
      <c r="H304" s="2" t="s">
        <v>24</v>
      </c>
      <c r="I304" s="2" t="s">
        <v>1361</v>
      </c>
      <c r="J304" s="2" t="s">
        <v>1368</v>
      </c>
      <c r="K304" s="2" t="s">
        <v>639</v>
      </c>
      <c r="L304" s="2"/>
      <c r="M304" s="2"/>
      <c r="N304" s="2" t="str">
        <f t="shared" si="8"/>
        <v/>
      </c>
      <c r="O304" s="2"/>
      <c r="P304" s="2"/>
      <c r="Q304" s="2"/>
      <c r="R304" s="2"/>
      <c r="S304" s="2" t="s">
        <v>128</v>
      </c>
      <c r="T304" s="2"/>
      <c r="U304" s="2"/>
      <c r="V304" s="2" t="str">
        <f t="shared" si="9"/>
        <v/>
      </c>
      <c r="W304" t="str">
        <f>IF($P304="是",COUNTIF($P$2:$P304,"是"),"")</f>
        <v/>
      </c>
    </row>
    <row r="305" spans="1:23" ht="27.75">
      <c r="A305" s="2" t="s">
        <v>905</v>
      </c>
      <c r="B305" s="2" t="s">
        <v>1237</v>
      </c>
      <c r="C305" s="2" t="s">
        <v>1238</v>
      </c>
      <c r="D305" s="2" t="s">
        <v>1357</v>
      </c>
      <c r="E305" s="2" t="s">
        <v>1358</v>
      </c>
      <c r="F305" s="2" t="s">
        <v>1369</v>
      </c>
      <c r="G305" s="2" t="s">
        <v>1370</v>
      </c>
      <c r="H305" s="2" t="s">
        <v>27</v>
      </c>
      <c r="I305" s="2" t="s">
        <v>1361</v>
      </c>
      <c r="J305" s="2" t="s">
        <v>1371</v>
      </c>
      <c r="K305" s="2" t="s">
        <v>639</v>
      </c>
      <c r="L305" s="2"/>
      <c r="M305" s="2"/>
      <c r="N305" s="2" t="str">
        <f t="shared" si="8"/>
        <v/>
      </c>
      <c r="O305" s="2"/>
      <c r="P305" s="2"/>
      <c r="Q305" s="2"/>
      <c r="R305" s="2"/>
      <c r="S305" s="2" t="s">
        <v>128</v>
      </c>
      <c r="T305" s="2"/>
      <c r="U305" s="2"/>
      <c r="V305" s="2" t="str">
        <f t="shared" si="9"/>
        <v/>
      </c>
      <c r="W305" t="str">
        <f>IF($P305="是",COUNTIF($P$2:$P305,"是"),"")</f>
        <v/>
      </c>
    </row>
    <row r="306" spans="1:23" ht="27.75">
      <c r="A306" s="2" t="s">
        <v>905</v>
      </c>
      <c r="B306" s="2" t="s">
        <v>1237</v>
      </c>
      <c r="C306" s="2" t="s">
        <v>1238</v>
      </c>
      <c r="D306" s="2" t="s">
        <v>1357</v>
      </c>
      <c r="E306" s="2" t="s">
        <v>1358</v>
      </c>
      <c r="F306" s="2" t="s">
        <v>1372</v>
      </c>
      <c r="G306" s="2" t="s">
        <v>1373</v>
      </c>
      <c r="H306" s="2" t="s">
        <v>249</v>
      </c>
      <c r="I306" s="2" t="s">
        <v>1374</v>
      </c>
      <c r="J306" s="2" t="s">
        <v>1375</v>
      </c>
      <c r="K306" s="2" t="s">
        <v>769</v>
      </c>
      <c r="L306" s="2"/>
      <c r="M306" s="2"/>
      <c r="N306" s="2" t="str">
        <f t="shared" si="8"/>
        <v/>
      </c>
      <c r="O306" s="2"/>
      <c r="P306" s="2"/>
      <c r="Q306" s="2"/>
      <c r="R306" s="2"/>
      <c r="S306" s="2" t="s">
        <v>128</v>
      </c>
      <c r="T306" s="2"/>
      <c r="U306" s="2"/>
      <c r="V306" s="2" t="str">
        <f t="shared" si="9"/>
        <v/>
      </c>
      <c r="W306" t="str">
        <f>IF($P306="是",COUNTIF($P$2:$P306,"是"),"")</f>
        <v/>
      </c>
    </row>
    <row r="307" spans="1:23" ht="27.75">
      <c r="A307" s="2" t="s">
        <v>905</v>
      </c>
      <c r="B307" s="2" t="s">
        <v>1237</v>
      </c>
      <c r="C307" s="2" t="s">
        <v>1238</v>
      </c>
      <c r="D307" s="2" t="s">
        <v>1376</v>
      </c>
      <c r="E307" s="2" t="s">
        <v>1377</v>
      </c>
      <c r="F307" s="2" t="s">
        <v>1378</v>
      </c>
      <c r="G307" s="2" t="s">
        <v>1379</v>
      </c>
      <c r="H307" s="2" t="s">
        <v>21</v>
      </c>
      <c r="I307" s="2" t="s">
        <v>1380</v>
      </c>
      <c r="J307" s="2" t="s">
        <v>1381</v>
      </c>
      <c r="K307" s="2" t="s">
        <v>1245</v>
      </c>
      <c r="L307" s="2"/>
      <c r="M307" s="2"/>
      <c r="N307" s="2" t="str">
        <f t="shared" si="8"/>
        <v/>
      </c>
      <c r="O307" s="2"/>
      <c r="P307" s="2"/>
      <c r="Q307" s="2"/>
      <c r="R307" s="2"/>
      <c r="S307" s="2" t="s">
        <v>128</v>
      </c>
      <c r="T307" s="2"/>
      <c r="U307" s="2"/>
      <c r="V307" s="2" t="str">
        <f t="shared" si="9"/>
        <v/>
      </c>
      <c r="W307" t="str">
        <f>IF($P307="是",COUNTIF($P$2:$P307,"是"),"")</f>
        <v/>
      </c>
    </row>
    <row r="308" spans="1:23" ht="27.75">
      <c r="A308" s="2" t="s">
        <v>905</v>
      </c>
      <c r="B308" s="2" t="s">
        <v>1237</v>
      </c>
      <c r="C308" s="2" t="s">
        <v>1238</v>
      </c>
      <c r="D308" s="2" t="s">
        <v>1376</v>
      </c>
      <c r="E308" s="2" t="s">
        <v>1377</v>
      </c>
      <c r="F308" s="2" t="s">
        <v>1382</v>
      </c>
      <c r="G308" s="2" t="s">
        <v>1383</v>
      </c>
      <c r="H308" s="2" t="s">
        <v>24</v>
      </c>
      <c r="I308" s="2" t="s">
        <v>1297</v>
      </c>
      <c r="J308" s="2" t="s">
        <v>1384</v>
      </c>
      <c r="K308" s="2" t="s">
        <v>625</v>
      </c>
      <c r="L308" s="2"/>
      <c r="M308" s="2"/>
      <c r="N308" s="2" t="str">
        <f t="shared" si="8"/>
        <v/>
      </c>
      <c r="O308" s="2"/>
      <c r="P308" s="2"/>
      <c r="Q308" s="2"/>
      <c r="R308" s="2"/>
      <c r="S308" s="2" t="s">
        <v>128</v>
      </c>
      <c r="T308" s="2"/>
      <c r="U308" s="2"/>
      <c r="V308" s="2" t="str">
        <f t="shared" si="9"/>
        <v/>
      </c>
      <c r="W308" t="str">
        <f>IF($P308="是",COUNTIF($P$2:$P308,"是"),"")</f>
        <v/>
      </c>
    </row>
    <row r="309" spans="1:23" ht="27.75">
      <c r="A309" s="2" t="s">
        <v>905</v>
      </c>
      <c r="B309" s="2" t="s">
        <v>1237</v>
      </c>
      <c r="C309" s="2" t="s">
        <v>1238</v>
      </c>
      <c r="D309" s="2" t="s">
        <v>1376</v>
      </c>
      <c r="E309" s="2" t="s">
        <v>1377</v>
      </c>
      <c r="F309" s="2" t="s">
        <v>1385</v>
      </c>
      <c r="G309" s="2" t="s">
        <v>1386</v>
      </c>
      <c r="H309" s="2" t="s">
        <v>24</v>
      </c>
      <c r="I309" s="2" t="s">
        <v>1297</v>
      </c>
      <c r="J309" s="2" t="s">
        <v>1387</v>
      </c>
      <c r="K309" s="2" t="s">
        <v>824</v>
      </c>
      <c r="L309" s="2"/>
      <c r="M309" s="2"/>
      <c r="N309" s="2" t="str">
        <f t="shared" si="8"/>
        <v/>
      </c>
      <c r="O309" s="2"/>
      <c r="P309" s="2"/>
      <c r="Q309" s="2"/>
      <c r="R309" s="2"/>
      <c r="S309" s="2" t="s">
        <v>128</v>
      </c>
      <c r="T309" s="2"/>
      <c r="U309" s="2"/>
      <c r="V309" s="2" t="str">
        <f t="shared" si="9"/>
        <v/>
      </c>
      <c r="W309" t="str">
        <f>IF($P309="是",COUNTIF($P$2:$P309,"是"),"")</f>
        <v/>
      </c>
    </row>
    <row r="310" spans="1:23" ht="27.75">
      <c r="A310" s="2" t="s">
        <v>905</v>
      </c>
      <c r="B310" s="2" t="s">
        <v>1237</v>
      </c>
      <c r="C310" s="2" t="s">
        <v>1238</v>
      </c>
      <c r="D310" s="2" t="s">
        <v>1376</v>
      </c>
      <c r="E310" s="2" t="s">
        <v>1377</v>
      </c>
      <c r="F310" s="2" t="s">
        <v>1388</v>
      </c>
      <c r="G310" s="2" t="s">
        <v>1389</v>
      </c>
      <c r="H310" s="2" t="s">
        <v>27</v>
      </c>
      <c r="I310" s="2" t="s">
        <v>1297</v>
      </c>
      <c r="J310" s="2" t="s">
        <v>1390</v>
      </c>
      <c r="K310" s="2" t="s">
        <v>769</v>
      </c>
      <c r="L310" s="2"/>
      <c r="M310" s="2"/>
      <c r="N310" s="2" t="str">
        <f t="shared" si="8"/>
        <v/>
      </c>
      <c r="O310" s="2"/>
      <c r="P310" s="2"/>
      <c r="Q310" s="2"/>
      <c r="R310" s="2"/>
      <c r="S310" s="2" t="s">
        <v>128</v>
      </c>
      <c r="T310" s="2"/>
      <c r="U310" s="2"/>
      <c r="V310" s="2" t="str">
        <f t="shared" si="9"/>
        <v/>
      </c>
      <c r="W310" t="str">
        <f>IF($P310="是",COUNTIF($P$2:$P310,"是"),"")</f>
        <v/>
      </c>
    </row>
    <row r="311" spans="1:23" ht="27.75">
      <c r="A311" s="2" t="s">
        <v>905</v>
      </c>
      <c r="B311" s="2" t="s">
        <v>1237</v>
      </c>
      <c r="C311" s="2" t="s">
        <v>1238</v>
      </c>
      <c r="D311" s="2" t="s">
        <v>1376</v>
      </c>
      <c r="E311" s="2" t="s">
        <v>1377</v>
      </c>
      <c r="F311" s="2" t="s">
        <v>1391</v>
      </c>
      <c r="G311" s="2" t="s">
        <v>1392</v>
      </c>
      <c r="H311" s="2" t="s">
        <v>249</v>
      </c>
      <c r="I311" s="2" t="s">
        <v>1393</v>
      </c>
      <c r="J311" s="2" t="s">
        <v>1394</v>
      </c>
      <c r="K311" s="2" t="s">
        <v>769</v>
      </c>
      <c r="L311" s="2"/>
      <c r="M311" s="2"/>
      <c r="N311" s="2" t="str">
        <f t="shared" si="8"/>
        <v/>
      </c>
      <c r="O311" s="2"/>
      <c r="P311" s="2"/>
      <c r="Q311" s="2"/>
      <c r="R311" s="2"/>
      <c r="S311" s="2" t="s">
        <v>128</v>
      </c>
      <c r="T311" s="2"/>
      <c r="U311" s="2"/>
      <c r="V311" s="2" t="str">
        <f t="shared" si="9"/>
        <v/>
      </c>
      <c r="W311" t="str">
        <f>IF($P311="是",COUNTIF($P$2:$P311,"是"),"")</f>
        <v/>
      </c>
    </row>
  </sheetData>
  <phoneticPr fontId="12" type="noConversion"/>
  <conditionalFormatting sqref="N2:N311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6">
    <dataValidation type="list" sqref="L2:M311" xr:uid="{00000000-0002-0000-0200-000000000000}">
      <formula1>"0,1,2,3,4,5"</formula1>
    </dataValidation>
    <dataValidation type="list" sqref="O2:O311" xr:uid="{00000000-0002-0000-0200-000001000000}">
      <formula1>"高,中,低,暂缓"</formula1>
    </dataValidation>
    <dataValidation type="list" sqref="P2:P311" xr:uid="{00000000-0002-0000-0200-000002000000}">
      <formula1>"是,否"</formula1>
    </dataValidation>
    <dataValidation type="list" sqref="Q2:Q311" xr:uid="{00000000-0002-0000-0200-000003000000}">
      <formula1>"Q1,Q2,Q3,Q4"</formula1>
    </dataValidation>
    <dataValidation type="list" sqref="R2:R311" xr:uid="{00000000-0002-0000-0200-000004000000}">
      <formula1>"第1月,第2月,第3月,第4月,第5月,第6月,第7月,第8月,第9月,第10月,第11月,第12月"</formula1>
    </dataValidation>
    <dataValidation type="list" sqref="S2:S311" xr:uid="{00000000-0002-0000-0200-000005000000}">
      <formula1>"未开始,进行中,已完成,延期,暂停,取消"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50"/>
  <sheetViews>
    <sheetView workbookViewId="0">
      <selection activeCell="E11" sqref="E11"/>
    </sheetView>
  </sheetViews>
  <sheetFormatPr defaultRowHeight="13.5"/>
  <cols>
    <col min="1" max="1" width="12" customWidth="1"/>
    <col min="2" max="3" width="10" customWidth="1"/>
    <col min="4" max="4" width="16" customWidth="1"/>
    <col min="5" max="5" width="32" customWidth="1"/>
    <col min="6" max="7" width="13" customWidth="1"/>
    <col min="8" max="9" width="10.1875" bestFit="1" customWidth="1"/>
    <col min="10" max="10" width="4.75" bestFit="1" customWidth="1"/>
    <col min="11" max="11" width="6.5625" bestFit="1" customWidth="1"/>
    <col min="12" max="14" width="14" customWidth="1"/>
    <col min="15" max="15" width="12" customWidth="1"/>
    <col min="16" max="17" width="8.375" bestFit="1" customWidth="1"/>
    <col min="18" max="18" width="11" bestFit="1" customWidth="1"/>
  </cols>
  <sheetData>
    <row r="1" spans="1:22" ht="31.5">
      <c r="A1" s="3" t="s">
        <v>1395</v>
      </c>
      <c r="B1" s="3" t="s">
        <v>1396</v>
      </c>
      <c r="C1" s="3" t="s">
        <v>59</v>
      </c>
      <c r="D1" s="3" t="s">
        <v>1397</v>
      </c>
      <c r="E1" s="3" t="s">
        <v>102</v>
      </c>
      <c r="F1" s="3" t="s">
        <v>87</v>
      </c>
      <c r="G1" s="3" t="s">
        <v>100</v>
      </c>
      <c r="H1" s="3" t="s">
        <v>1398</v>
      </c>
      <c r="I1" s="3" t="s">
        <v>1399</v>
      </c>
      <c r="J1" s="3" t="s">
        <v>109</v>
      </c>
      <c r="K1" s="3" t="s">
        <v>110</v>
      </c>
      <c r="L1" s="3" t="s">
        <v>104</v>
      </c>
      <c r="M1" s="3" t="s">
        <v>1400</v>
      </c>
      <c r="N1" s="3" t="s">
        <v>105</v>
      </c>
      <c r="O1" s="3" t="s">
        <v>106</v>
      </c>
      <c r="P1" s="3" t="s">
        <v>1401</v>
      </c>
      <c r="Q1" s="3" t="s">
        <v>1402</v>
      </c>
      <c r="R1" s="3" t="s">
        <v>63</v>
      </c>
      <c r="S1" s="3" t="s">
        <v>1403</v>
      </c>
      <c r="T1" s="3" t="s">
        <v>1404</v>
      </c>
      <c r="U1" s="3" t="s">
        <v>1405</v>
      </c>
      <c r="V1" s="3" t="s">
        <v>90</v>
      </c>
    </row>
    <row r="2" spans="1:22" ht="13.9">
      <c r="A2" s="2" t="str">
        <f>IF($D2="","","LP"&amp;TEXT(ROWS($A$2:A2),"000"))</f>
        <v/>
      </c>
      <c r="B2" s="2" t="str">
        <f>IF($D2="","",IFERROR(INDEX('02_能力差距自评'!$Q:$Q,MATCH($D2,'02_能力差距自评'!$F:$F,0)),""))</f>
        <v/>
      </c>
      <c r="C2" s="2" t="str">
        <f>IF($D2="","",IFERROR(INDEX('02_能力差距自评'!$R:$R,MATCH($D2,'02_能力差距自评'!$F:$F,0)),""))</f>
        <v/>
      </c>
      <c r="D2" s="2" t="str">
        <f>IFERROR(INDEX('02_能力差距自评'!$F$2:$F$311,MATCH(ROWS($D$2:D2),'02_能力差距自评'!$W$2:$W$311,0)),"")</f>
        <v/>
      </c>
      <c r="E2" s="2" t="str">
        <f>IF($D2="","",INDEX('02_能力差距自评'!$G:$G,MATCH($D2,'02_能力差距自评'!$F:$F,0)))</f>
        <v/>
      </c>
      <c r="F2" s="2" t="str">
        <f>IF($D2="","",INDEX('02_能力差距自评'!$C:$C,MATCH($D2,'02_能力差距自评'!$F:$F,0)))</f>
        <v/>
      </c>
      <c r="G2" s="2" t="str">
        <f>IF($D2="","",INDEX('02_能力差距自评'!$E:$E,MATCH($D2,'02_能力差距自评'!$F:$F,0)))</f>
        <v/>
      </c>
      <c r="H2" s="2" t="str">
        <f>IF($D2="","",INDEX('02_能力差距自评'!$L:$L,MATCH($D2,'02_能力差距自评'!$F:$F,0)))</f>
        <v/>
      </c>
      <c r="I2" s="2" t="str">
        <f>IF($D2="","",INDEX('02_能力差距自评'!$M:$M,MATCH($D2,'02_能力差距自评'!$F:$F,0)))</f>
        <v/>
      </c>
      <c r="J2" s="2" t="str">
        <f>IF($D2="","",INDEX('02_能力差距自评'!$N:$N,MATCH($D2,'02_能力差距自评'!$F:$F,0)))</f>
        <v/>
      </c>
      <c r="K2" s="4" t="str">
        <f>IF($D2="","",INDEX('02_能力差距自评'!$O:$O,MATCH($D2,'02_能力差距自评'!$F:$F,0)))</f>
        <v/>
      </c>
      <c r="L2" s="4" t="str">
        <f>IF($D2="","",INDEX('02_能力差距自评'!$I:$I,MATCH($D2,'02_能力差距自评'!$F:$F,0)))</f>
        <v/>
      </c>
      <c r="M2" s="2" t="str">
        <f t="shared" ref="M2:M65" si="0">IF($D2="","",$E2)</f>
        <v/>
      </c>
      <c r="N2" s="2" t="str">
        <f>IF($D2="","",INDEX('02_能力差距自评'!$J:$J,MATCH($D2,'02_能力差距自评'!$F:$F,0)))</f>
        <v/>
      </c>
      <c r="O2" s="2" t="str">
        <f>IF($D2="","",INDEX('02_能力差距自评'!$K:$K,MATCH($D2,'02_能力差距自评'!$F:$F,0)))</f>
        <v/>
      </c>
      <c r="P2" s="2"/>
      <c r="Q2" s="2"/>
      <c r="R2" s="2"/>
      <c r="S2" s="8" t="str">
        <f t="shared" ref="S2:S65" si="1">IF($D2="","","未开始")</f>
        <v/>
      </c>
      <c r="T2" s="8"/>
      <c r="U2" s="8"/>
      <c r="V2" s="8"/>
    </row>
    <row r="3" spans="1:22" ht="13.9">
      <c r="A3" s="2" t="str">
        <f>IF($D3="","","LP"&amp;TEXT(ROWS($A$2:A3),"000"))</f>
        <v/>
      </c>
      <c r="B3" s="2" t="str">
        <f>IF($D3="","",IFERROR(INDEX('02_能力差距自评'!$Q:$Q,MATCH($D3,'02_能力差距自评'!$F:$F,0)),""))</f>
        <v/>
      </c>
      <c r="C3" s="2" t="str">
        <f>IF($D3="","",IFERROR(INDEX('02_能力差距自评'!$R:$R,MATCH($D3,'02_能力差距自评'!$F:$F,0)),""))</f>
        <v/>
      </c>
      <c r="D3" s="2" t="str">
        <f>IFERROR(INDEX('02_能力差距自评'!$F$2:$F$311,MATCH(ROWS($D$2:D3),'02_能力差距自评'!$W$2:$W$311,0)),"")</f>
        <v/>
      </c>
      <c r="E3" s="2" t="str">
        <f>IF($D3="","",INDEX('02_能力差距自评'!$G:$G,MATCH($D3,'02_能力差距自评'!$F:$F,0)))</f>
        <v/>
      </c>
      <c r="F3" s="2" t="str">
        <f>IF($D3="","",INDEX('02_能力差距自评'!$C:$C,MATCH($D3,'02_能力差距自评'!$F:$F,0)))</f>
        <v/>
      </c>
      <c r="G3" s="2" t="str">
        <f>IF($D3="","",INDEX('02_能力差距自评'!$E:$E,MATCH($D3,'02_能力差距自评'!$F:$F,0)))</f>
        <v/>
      </c>
      <c r="H3" s="2" t="str">
        <f>IF($D3="","",INDEX('02_能力差距自评'!$L:$L,MATCH($D3,'02_能力差距自评'!$F:$F,0)))</f>
        <v/>
      </c>
      <c r="I3" s="2" t="str">
        <f>IF($D3="","",INDEX('02_能力差距自评'!$M:$M,MATCH($D3,'02_能力差距自评'!$F:$F,0)))</f>
        <v/>
      </c>
      <c r="J3" s="2" t="str">
        <f>IF($D3="","",INDEX('02_能力差距自评'!$N:$N,MATCH($D3,'02_能力差距自评'!$F:$F,0)))</f>
        <v/>
      </c>
      <c r="K3" s="4" t="str">
        <f>IF($D3="","",INDEX('02_能力差距自评'!$O:$O,MATCH($D3,'02_能力差距自评'!$F:$F,0)))</f>
        <v/>
      </c>
      <c r="L3" s="4" t="str">
        <f>IF($D3="","",INDEX('02_能力差距自评'!$I:$I,MATCH($D3,'02_能力差距自评'!$F:$F,0)))</f>
        <v/>
      </c>
      <c r="M3" s="2" t="str">
        <f t="shared" si="0"/>
        <v/>
      </c>
      <c r="N3" s="2" t="str">
        <f>IF($D3="","",INDEX('02_能力差距自评'!$J:$J,MATCH($D3,'02_能力差距自评'!$F:$F,0)))</f>
        <v/>
      </c>
      <c r="O3" s="2" t="str">
        <f>IF($D3="","",INDEX('02_能力差距自评'!$K:$K,MATCH($D3,'02_能力差距自评'!$F:$F,0)))</f>
        <v/>
      </c>
      <c r="P3" s="2"/>
      <c r="Q3" s="2"/>
      <c r="R3" s="2"/>
      <c r="S3" s="8" t="str">
        <f t="shared" si="1"/>
        <v/>
      </c>
      <c r="T3" s="8"/>
      <c r="U3" s="8"/>
      <c r="V3" s="8"/>
    </row>
    <row r="4" spans="1:22" ht="13.9">
      <c r="A4" s="2" t="str">
        <f>IF($D4="","","LP"&amp;TEXT(ROWS($A$2:A4),"000"))</f>
        <v/>
      </c>
      <c r="B4" s="2" t="str">
        <f>IF($D4="","",IFERROR(INDEX('02_能力差距自评'!$Q:$Q,MATCH($D4,'02_能力差距自评'!$F:$F,0)),""))</f>
        <v/>
      </c>
      <c r="C4" s="2" t="str">
        <f>IF($D4="","",IFERROR(INDEX('02_能力差距自评'!$R:$R,MATCH($D4,'02_能力差距自评'!$F:$F,0)),""))</f>
        <v/>
      </c>
      <c r="D4" s="2" t="str">
        <f>IFERROR(INDEX('02_能力差距自评'!$F$2:$F$311,MATCH(ROWS($D$2:D4),'02_能力差距自评'!$W$2:$W$311,0)),"")</f>
        <v/>
      </c>
      <c r="E4" s="2" t="str">
        <f>IF($D4="","",INDEX('02_能力差距自评'!$G:$G,MATCH($D4,'02_能力差距自评'!$F:$F,0)))</f>
        <v/>
      </c>
      <c r="F4" s="2" t="str">
        <f>IF($D4="","",INDEX('02_能力差距自评'!$C:$C,MATCH($D4,'02_能力差距自评'!$F:$F,0)))</f>
        <v/>
      </c>
      <c r="G4" s="2" t="str">
        <f>IF($D4="","",INDEX('02_能力差距自评'!$E:$E,MATCH($D4,'02_能力差距自评'!$F:$F,0)))</f>
        <v/>
      </c>
      <c r="H4" s="2" t="str">
        <f>IF($D4="","",INDEX('02_能力差距自评'!$L:$L,MATCH($D4,'02_能力差距自评'!$F:$F,0)))</f>
        <v/>
      </c>
      <c r="I4" s="2" t="str">
        <f>IF($D4="","",INDEX('02_能力差距自评'!$M:$M,MATCH($D4,'02_能力差距自评'!$F:$F,0)))</f>
        <v/>
      </c>
      <c r="J4" s="2" t="str">
        <f>IF($D4="","",INDEX('02_能力差距自评'!$N:$N,MATCH($D4,'02_能力差距自评'!$F:$F,0)))</f>
        <v/>
      </c>
      <c r="K4" s="4" t="str">
        <f>IF($D4="","",INDEX('02_能力差距自评'!$O:$O,MATCH($D4,'02_能力差距自评'!$F:$F,0)))</f>
        <v/>
      </c>
      <c r="L4" s="4" t="str">
        <f>IF($D4="","",INDEX('02_能力差距自评'!$I:$I,MATCH($D4,'02_能力差距自评'!$F:$F,0)))</f>
        <v/>
      </c>
      <c r="M4" s="2" t="str">
        <f t="shared" si="0"/>
        <v/>
      </c>
      <c r="N4" s="2" t="str">
        <f>IF($D4="","",INDEX('02_能力差距自评'!$J:$J,MATCH($D4,'02_能力差距自评'!$F:$F,0)))</f>
        <v/>
      </c>
      <c r="O4" s="2" t="str">
        <f>IF($D4="","",INDEX('02_能力差距自评'!$K:$K,MATCH($D4,'02_能力差距自评'!$F:$F,0)))</f>
        <v/>
      </c>
      <c r="P4" s="2"/>
      <c r="Q4" s="2"/>
      <c r="R4" s="2"/>
      <c r="S4" s="8" t="str">
        <f t="shared" si="1"/>
        <v/>
      </c>
      <c r="T4" s="8"/>
      <c r="U4" s="8"/>
      <c r="V4" s="8"/>
    </row>
    <row r="5" spans="1:22" ht="13.9">
      <c r="A5" s="2" t="str">
        <f>IF($D5="","","LP"&amp;TEXT(ROWS($A$2:A5),"000"))</f>
        <v/>
      </c>
      <c r="B5" s="2" t="str">
        <f>IF($D5="","",IFERROR(INDEX('02_能力差距自评'!$Q:$Q,MATCH($D5,'02_能力差距自评'!$F:$F,0)),""))</f>
        <v/>
      </c>
      <c r="C5" s="2" t="str">
        <f>IF($D5="","",IFERROR(INDEX('02_能力差距自评'!$R:$R,MATCH($D5,'02_能力差距自评'!$F:$F,0)),""))</f>
        <v/>
      </c>
      <c r="D5" s="2" t="str">
        <f>IFERROR(INDEX('02_能力差距自评'!$F$2:$F$311,MATCH(ROWS($D$2:D5),'02_能力差距自评'!$W$2:$W$311,0)),"")</f>
        <v/>
      </c>
      <c r="E5" s="2" t="str">
        <f>IF($D5="","",INDEX('02_能力差距自评'!$G:$G,MATCH($D5,'02_能力差距自评'!$F:$F,0)))</f>
        <v/>
      </c>
      <c r="F5" s="2" t="str">
        <f>IF($D5="","",INDEX('02_能力差距自评'!$C:$C,MATCH($D5,'02_能力差距自评'!$F:$F,0)))</f>
        <v/>
      </c>
      <c r="G5" s="2" t="str">
        <f>IF($D5="","",INDEX('02_能力差距自评'!$E:$E,MATCH($D5,'02_能力差距自评'!$F:$F,0)))</f>
        <v/>
      </c>
      <c r="H5" s="2" t="str">
        <f>IF($D5="","",INDEX('02_能力差距自评'!$L:$L,MATCH($D5,'02_能力差距自评'!$F:$F,0)))</f>
        <v/>
      </c>
      <c r="I5" s="2" t="str">
        <f>IF($D5="","",INDEX('02_能力差距自评'!$M:$M,MATCH($D5,'02_能力差距自评'!$F:$F,0)))</f>
        <v/>
      </c>
      <c r="J5" s="2" t="str">
        <f>IF($D5="","",INDEX('02_能力差距自评'!$N:$N,MATCH($D5,'02_能力差距自评'!$F:$F,0)))</f>
        <v/>
      </c>
      <c r="K5" s="4" t="str">
        <f>IF($D5="","",INDEX('02_能力差距自评'!$O:$O,MATCH($D5,'02_能力差距自评'!$F:$F,0)))</f>
        <v/>
      </c>
      <c r="L5" s="4" t="str">
        <f>IF($D5="","",INDEX('02_能力差距自评'!$I:$I,MATCH($D5,'02_能力差距自评'!$F:$F,0)))</f>
        <v/>
      </c>
      <c r="M5" s="2" t="str">
        <f t="shared" si="0"/>
        <v/>
      </c>
      <c r="N5" s="2" t="str">
        <f>IF($D5="","",INDEX('02_能力差距自评'!$J:$J,MATCH($D5,'02_能力差距自评'!$F:$F,0)))</f>
        <v/>
      </c>
      <c r="O5" s="2" t="str">
        <f>IF($D5="","",INDEX('02_能力差距自评'!$K:$K,MATCH($D5,'02_能力差距自评'!$F:$F,0)))</f>
        <v/>
      </c>
      <c r="P5" s="2"/>
      <c r="Q5" s="2"/>
      <c r="R5" s="2"/>
      <c r="S5" s="8" t="str">
        <f t="shared" si="1"/>
        <v/>
      </c>
      <c r="T5" s="8"/>
      <c r="U5" s="8"/>
      <c r="V5" s="8"/>
    </row>
    <row r="6" spans="1:22" ht="13.9">
      <c r="A6" s="2" t="str">
        <f>IF($D6="","","LP"&amp;TEXT(ROWS($A$2:A6),"000"))</f>
        <v/>
      </c>
      <c r="B6" s="2" t="str">
        <f>IF($D6="","",IFERROR(INDEX('02_能力差距自评'!$Q:$Q,MATCH($D6,'02_能力差距自评'!$F:$F,0)),""))</f>
        <v/>
      </c>
      <c r="C6" s="2" t="str">
        <f>IF($D6="","",IFERROR(INDEX('02_能力差距自评'!$R:$R,MATCH($D6,'02_能力差距自评'!$F:$F,0)),""))</f>
        <v/>
      </c>
      <c r="D6" s="2" t="str">
        <f>IFERROR(INDEX('02_能力差距自评'!$F$2:$F$311,MATCH(ROWS($D$2:D6),'02_能力差距自评'!$W$2:$W$311,0)),"")</f>
        <v/>
      </c>
      <c r="E6" s="2" t="str">
        <f>IF($D6="","",INDEX('02_能力差距自评'!$G:$G,MATCH($D6,'02_能力差距自评'!$F:$F,0)))</f>
        <v/>
      </c>
      <c r="F6" s="2" t="str">
        <f>IF($D6="","",INDEX('02_能力差距自评'!$C:$C,MATCH($D6,'02_能力差距自评'!$F:$F,0)))</f>
        <v/>
      </c>
      <c r="G6" s="2" t="str">
        <f>IF($D6="","",INDEX('02_能力差距自评'!$E:$E,MATCH($D6,'02_能力差距自评'!$F:$F,0)))</f>
        <v/>
      </c>
      <c r="H6" s="2" t="str">
        <f>IF($D6="","",INDEX('02_能力差距自评'!$L:$L,MATCH($D6,'02_能力差距自评'!$F:$F,0)))</f>
        <v/>
      </c>
      <c r="I6" s="2" t="str">
        <f>IF($D6="","",INDEX('02_能力差距自评'!$M:$M,MATCH($D6,'02_能力差距自评'!$F:$F,0)))</f>
        <v/>
      </c>
      <c r="J6" s="2" t="str">
        <f>IF($D6="","",INDEX('02_能力差距自评'!$N:$N,MATCH($D6,'02_能力差距自评'!$F:$F,0)))</f>
        <v/>
      </c>
      <c r="K6" s="4" t="str">
        <f>IF($D6="","",INDEX('02_能力差距自评'!$O:$O,MATCH($D6,'02_能力差距自评'!$F:$F,0)))</f>
        <v/>
      </c>
      <c r="L6" s="4" t="str">
        <f>IF($D6="","",INDEX('02_能力差距自评'!$I:$I,MATCH($D6,'02_能力差距自评'!$F:$F,0)))</f>
        <v/>
      </c>
      <c r="M6" s="2" t="str">
        <f t="shared" si="0"/>
        <v/>
      </c>
      <c r="N6" s="2" t="str">
        <f>IF($D6="","",INDEX('02_能力差距自评'!$J:$J,MATCH($D6,'02_能力差距自评'!$F:$F,0)))</f>
        <v/>
      </c>
      <c r="O6" s="2" t="str">
        <f>IF($D6="","",INDEX('02_能力差距自评'!$K:$K,MATCH($D6,'02_能力差距自评'!$F:$F,0)))</f>
        <v/>
      </c>
      <c r="P6" s="2"/>
      <c r="Q6" s="2"/>
      <c r="R6" s="2"/>
      <c r="S6" s="8" t="str">
        <f t="shared" si="1"/>
        <v/>
      </c>
      <c r="T6" s="8"/>
      <c r="U6" s="8"/>
      <c r="V6" s="8"/>
    </row>
    <row r="7" spans="1:22" ht="13.9">
      <c r="A7" s="2" t="str">
        <f>IF($D7="","","LP"&amp;TEXT(ROWS($A$2:A7),"000"))</f>
        <v/>
      </c>
      <c r="B7" s="2" t="str">
        <f>IF($D7="","",IFERROR(INDEX('02_能力差距自评'!$Q:$Q,MATCH($D7,'02_能力差距自评'!$F:$F,0)),""))</f>
        <v/>
      </c>
      <c r="C7" s="2" t="str">
        <f>IF($D7="","",IFERROR(INDEX('02_能力差距自评'!$R:$R,MATCH($D7,'02_能力差距自评'!$F:$F,0)),""))</f>
        <v/>
      </c>
      <c r="D7" s="2" t="str">
        <f>IFERROR(INDEX('02_能力差距自评'!$F$2:$F$311,MATCH(ROWS($D$2:D7),'02_能力差距自评'!$W$2:$W$311,0)),"")</f>
        <v/>
      </c>
      <c r="E7" s="2" t="str">
        <f>IF($D7="","",INDEX('02_能力差距自评'!$G:$G,MATCH($D7,'02_能力差距自评'!$F:$F,0)))</f>
        <v/>
      </c>
      <c r="F7" s="2" t="str">
        <f>IF($D7="","",INDEX('02_能力差距自评'!$C:$C,MATCH($D7,'02_能力差距自评'!$F:$F,0)))</f>
        <v/>
      </c>
      <c r="G7" s="2" t="str">
        <f>IF($D7="","",INDEX('02_能力差距自评'!$E:$E,MATCH($D7,'02_能力差距自评'!$F:$F,0)))</f>
        <v/>
      </c>
      <c r="H7" s="2" t="str">
        <f>IF($D7="","",INDEX('02_能力差距自评'!$L:$L,MATCH($D7,'02_能力差距自评'!$F:$F,0)))</f>
        <v/>
      </c>
      <c r="I7" s="2" t="str">
        <f>IF($D7="","",INDEX('02_能力差距自评'!$M:$M,MATCH($D7,'02_能力差距自评'!$F:$F,0)))</f>
        <v/>
      </c>
      <c r="J7" s="2" t="str">
        <f>IF($D7="","",INDEX('02_能力差距自评'!$N:$N,MATCH($D7,'02_能力差距自评'!$F:$F,0)))</f>
        <v/>
      </c>
      <c r="K7" s="4" t="str">
        <f>IF($D7="","",INDEX('02_能力差距自评'!$O:$O,MATCH($D7,'02_能力差距自评'!$F:$F,0)))</f>
        <v/>
      </c>
      <c r="L7" s="4" t="str">
        <f>IF($D7="","",INDEX('02_能力差距自评'!$I:$I,MATCH($D7,'02_能力差距自评'!$F:$F,0)))</f>
        <v/>
      </c>
      <c r="M7" s="2" t="str">
        <f t="shared" si="0"/>
        <v/>
      </c>
      <c r="N7" s="2" t="str">
        <f>IF($D7="","",INDEX('02_能力差距自评'!$J:$J,MATCH($D7,'02_能力差距自评'!$F:$F,0)))</f>
        <v/>
      </c>
      <c r="O7" s="2" t="str">
        <f>IF($D7="","",INDEX('02_能力差距自评'!$K:$K,MATCH($D7,'02_能力差距自评'!$F:$F,0)))</f>
        <v/>
      </c>
      <c r="P7" s="2"/>
      <c r="Q7" s="2"/>
      <c r="R7" s="2"/>
      <c r="S7" s="8" t="str">
        <f t="shared" si="1"/>
        <v/>
      </c>
      <c r="T7" s="8"/>
      <c r="U7" s="8"/>
      <c r="V7" s="8"/>
    </row>
    <row r="8" spans="1:22" ht="13.9">
      <c r="A8" s="2" t="str">
        <f>IF($D8="","","LP"&amp;TEXT(ROWS($A$2:A8),"000"))</f>
        <v/>
      </c>
      <c r="B8" s="2" t="str">
        <f>IF($D8="","",IFERROR(INDEX('02_能力差距自评'!$Q:$Q,MATCH($D8,'02_能力差距自评'!$F:$F,0)),""))</f>
        <v/>
      </c>
      <c r="C8" s="2" t="str">
        <f>IF($D8="","",IFERROR(INDEX('02_能力差距自评'!$R:$R,MATCH($D8,'02_能力差距自评'!$F:$F,0)),""))</f>
        <v/>
      </c>
      <c r="D8" s="2" t="str">
        <f>IFERROR(INDEX('02_能力差距自评'!$F$2:$F$311,MATCH(ROWS($D$2:D8),'02_能力差距自评'!$W$2:$W$311,0)),"")</f>
        <v/>
      </c>
      <c r="E8" s="2" t="str">
        <f>IF($D8="","",INDEX('02_能力差距自评'!$G:$G,MATCH($D8,'02_能力差距自评'!$F:$F,0)))</f>
        <v/>
      </c>
      <c r="F8" s="2" t="str">
        <f>IF($D8="","",INDEX('02_能力差距自评'!$C:$C,MATCH($D8,'02_能力差距自评'!$F:$F,0)))</f>
        <v/>
      </c>
      <c r="G8" s="2" t="str">
        <f>IF($D8="","",INDEX('02_能力差距自评'!$E:$E,MATCH($D8,'02_能力差距自评'!$F:$F,0)))</f>
        <v/>
      </c>
      <c r="H8" s="2" t="str">
        <f>IF($D8="","",INDEX('02_能力差距自评'!$L:$L,MATCH($D8,'02_能力差距自评'!$F:$F,0)))</f>
        <v/>
      </c>
      <c r="I8" s="2" t="str">
        <f>IF($D8="","",INDEX('02_能力差距自评'!$M:$M,MATCH($D8,'02_能力差距自评'!$F:$F,0)))</f>
        <v/>
      </c>
      <c r="J8" s="2" t="str">
        <f>IF($D8="","",INDEX('02_能力差距自评'!$N:$N,MATCH($D8,'02_能力差距自评'!$F:$F,0)))</f>
        <v/>
      </c>
      <c r="K8" s="4" t="str">
        <f>IF($D8="","",INDEX('02_能力差距自评'!$O:$O,MATCH($D8,'02_能力差距自评'!$F:$F,0)))</f>
        <v/>
      </c>
      <c r="L8" s="4" t="str">
        <f>IF($D8="","",INDEX('02_能力差距自评'!$I:$I,MATCH($D8,'02_能力差距自评'!$F:$F,0)))</f>
        <v/>
      </c>
      <c r="M8" s="2" t="str">
        <f t="shared" si="0"/>
        <v/>
      </c>
      <c r="N8" s="2" t="str">
        <f>IF($D8="","",INDEX('02_能力差距自评'!$J:$J,MATCH($D8,'02_能力差距自评'!$F:$F,0)))</f>
        <v/>
      </c>
      <c r="O8" s="2" t="str">
        <f>IF($D8="","",INDEX('02_能力差距自评'!$K:$K,MATCH($D8,'02_能力差距自评'!$F:$F,0)))</f>
        <v/>
      </c>
      <c r="P8" s="2"/>
      <c r="Q8" s="2"/>
      <c r="R8" s="2"/>
      <c r="S8" s="8" t="str">
        <f t="shared" si="1"/>
        <v/>
      </c>
      <c r="T8" s="8"/>
      <c r="U8" s="8"/>
      <c r="V8" s="8"/>
    </row>
    <row r="9" spans="1:22" ht="13.9">
      <c r="A9" s="2" t="str">
        <f>IF($D9="","","LP"&amp;TEXT(ROWS($A$2:A9),"000"))</f>
        <v/>
      </c>
      <c r="B9" s="2" t="str">
        <f>IF($D9="","",IFERROR(INDEX('02_能力差距自评'!$Q:$Q,MATCH($D9,'02_能力差距自评'!$F:$F,0)),""))</f>
        <v/>
      </c>
      <c r="C9" s="2" t="str">
        <f>IF($D9="","",IFERROR(INDEX('02_能力差距自评'!$R:$R,MATCH($D9,'02_能力差距自评'!$F:$F,0)),""))</f>
        <v/>
      </c>
      <c r="D9" s="2" t="str">
        <f>IFERROR(INDEX('02_能力差距自评'!$F$2:$F$311,MATCH(ROWS($D$2:D9),'02_能力差距自评'!$W$2:$W$311,0)),"")</f>
        <v/>
      </c>
      <c r="E9" s="2" t="str">
        <f>IF($D9="","",INDEX('02_能力差距自评'!$G:$G,MATCH($D9,'02_能力差距自评'!$F:$F,0)))</f>
        <v/>
      </c>
      <c r="F9" s="2" t="str">
        <f>IF($D9="","",INDEX('02_能力差距自评'!$C:$C,MATCH($D9,'02_能力差距自评'!$F:$F,0)))</f>
        <v/>
      </c>
      <c r="G9" s="2" t="str">
        <f>IF($D9="","",INDEX('02_能力差距自评'!$E:$E,MATCH($D9,'02_能力差距自评'!$F:$F,0)))</f>
        <v/>
      </c>
      <c r="H9" s="2" t="str">
        <f>IF($D9="","",INDEX('02_能力差距自评'!$L:$L,MATCH($D9,'02_能力差距自评'!$F:$F,0)))</f>
        <v/>
      </c>
      <c r="I9" s="2" t="str">
        <f>IF($D9="","",INDEX('02_能力差距自评'!$M:$M,MATCH($D9,'02_能力差距自评'!$F:$F,0)))</f>
        <v/>
      </c>
      <c r="J9" s="2" t="str">
        <f>IF($D9="","",INDEX('02_能力差距自评'!$N:$N,MATCH($D9,'02_能力差距自评'!$F:$F,0)))</f>
        <v/>
      </c>
      <c r="K9" s="4" t="str">
        <f>IF($D9="","",INDEX('02_能力差距自评'!$O:$O,MATCH($D9,'02_能力差距自评'!$F:$F,0)))</f>
        <v/>
      </c>
      <c r="L9" s="4" t="str">
        <f>IF($D9="","",INDEX('02_能力差距自评'!$I:$I,MATCH($D9,'02_能力差距自评'!$F:$F,0)))</f>
        <v/>
      </c>
      <c r="M9" s="2" t="str">
        <f t="shared" si="0"/>
        <v/>
      </c>
      <c r="N9" s="2" t="str">
        <f>IF($D9="","",INDEX('02_能力差距自评'!$J:$J,MATCH($D9,'02_能力差距自评'!$F:$F,0)))</f>
        <v/>
      </c>
      <c r="O9" s="2" t="str">
        <f>IF($D9="","",INDEX('02_能力差距自评'!$K:$K,MATCH($D9,'02_能力差距自评'!$F:$F,0)))</f>
        <v/>
      </c>
      <c r="P9" s="2"/>
      <c r="Q9" s="2"/>
      <c r="R9" s="2"/>
      <c r="S9" s="8" t="str">
        <f t="shared" si="1"/>
        <v/>
      </c>
      <c r="T9" s="8"/>
      <c r="U9" s="8"/>
      <c r="V9" s="8"/>
    </row>
    <row r="10" spans="1:22" ht="13.9">
      <c r="A10" s="2" t="str">
        <f>IF($D10="","","LP"&amp;TEXT(ROWS($A$2:A10),"000"))</f>
        <v/>
      </c>
      <c r="B10" s="2" t="str">
        <f>IF($D10="","",IFERROR(INDEX('02_能力差距自评'!$Q:$Q,MATCH($D10,'02_能力差距自评'!$F:$F,0)),""))</f>
        <v/>
      </c>
      <c r="C10" s="2" t="str">
        <f>IF($D10="","",IFERROR(INDEX('02_能力差距自评'!$R:$R,MATCH($D10,'02_能力差距自评'!$F:$F,0)),""))</f>
        <v/>
      </c>
      <c r="D10" s="2" t="str">
        <f>IFERROR(INDEX('02_能力差距自评'!$F$2:$F$311,MATCH(ROWS($D$2:D10),'02_能力差距自评'!$W$2:$W$311,0)),"")</f>
        <v/>
      </c>
      <c r="E10" s="2" t="str">
        <f>IF($D10="","",INDEX('02_能力差距自评'!$G:$G,MATCH($D10,'02_能力差距自评'!$F:$F,0)))</f>
        <v/>
      </c>
      <c r="F10" s="2" t="str">
        <f>IF($D10="","",INDEX('02_能力差距自评'!$C:$C,MATCH($D10,'02_能力差距自评'!$F:$F,0)))</f>
        <v/>
      </c>
      <c r="G10" s="2" t="str">
        <f>IF($D10="","",INDEX('02_能力差距自评'!$E:$E,MATCH($D10,'02_能力差距自评'!$F:$F,0)))</f>
        <v/>
      </c>
      <c r="H10" s="2" t="str">
        <f>IF($D10="","",INDEX('02_能力差距自评'!$L:$L,MATCH($D10,'02_能力差距自评'!$F:$F,0)))</f>
        <v/>
      </c>
      <c r="I10" s="2" t="str">
        <f>IF($D10="","",INDEX('02_能力差距自评'!$M:$M,MATCH($D10,'02_能力差距自评'!$F:$F,0)))</f>
        <v/>
      </c>
      <c r="J10" s="2" t="str">
        <f>IF($D10="","",INDEX('02_能力差距自评'!$N:$N,MATCH($D10,'02_能力差距自评'!$F:$F,0)))</f>
        <v/>
      </c>
      <c r="K10" s="4" t="str">
        <f>IF($D10="","",INDEX('02_能力差距自评'!$O:$O,MATCH($D10,'02_能力差距自评'!$F:$F,0)))</f>
        <v/>
      </c>
      <c r="L10" s="4" t="str">
        <f>IF($D10="","",INDEX('02_能力差距自评'!$I:$I,MATCH($D10,'02_能力差距自评'!$F:$F,0)))</f>
        <v/>
      </c>
      <c r="M10" s="2" t="str">
        <f t="shared" si="0"/>
        <v/>
      </c>
      <c r="N10" s="2" t="str">
        <f>IF($D10="","",INDEX('02_能力差距自评'!$J:$J,MATCH($D10,'02_能力差距自评'!$F:$F,0)))</f>
        <v/>
      </c>
      <c r="O10" s="2" t="str">
        <f>IF($D10="","",INDEX('02_能力差距自评'!$K:$K,MATCH($D10,'02_能力差距自评'!$F:$F,0)))</f>
        <v/>
      </c>
      <c r="P10" s="2"/>
      <c r="Q10" s="2"/>
      <c r="R10" s="2"/>
      <c r="S10" s="8" t="str">
        <f t="shared" si="1"/>
        <v/>
      </c>
      <c r="T10" s="8"/>
      <c r="U10" s="8"/>
      <c r="V10" s="8"/>
    </row>
    <row r="11" spans="1:22" ht="13.9">
      <c r="A11" s="2" t="str">
        <f>IF($D11="","","LP"&amp;TEXT(ROWS($A$2:A11),"000"))</f>
        <v/>
      </c>
      <c r="B11" s="2" t="str">
        <f>IF($D11="","",IFERROR(INDEX('02_能力差距自评'!$Q:$Q,MATCH($D11,'02_能力差距自评'!$F:$F,0)),""))</f>
        <v/>
      </c>
      <c r="C11" s="2" t="str">
        <f>IF($D11="","",IFERROR(INDEX('02_能力差距自评'!$R:$R,MATCH($D11,'02_能力差距自评'!$F:$F,0)),""))</f>
        <v/>
      </c>
      <c r="D11" s="2" t="str">
        <f>IFERROR(INDEX('02_能力差距自评'!$F$2:$F$311,MATCH(ROWS($D$2:D11),'02_能力差距自评'!$W$2:$W$311,0)),"")</f>
        <v/>
      </c>
      <c r="E11" s="2" t="str">
        <f>IF($D11="","",INDEX('02_能力差距自评'!$G:$G,MATCH($D11,'02_能力差距自评'!$F:$F,0)))</f>
        <v/>
      </c>
      <c r="F11" s="2" t="str">
        <f>IF($D11="","",INDEX('02_能力差距自评'!$C:$C,MATCH($D11,'02_能力差距自评'!$F:$F,0)))</f>
        <v/>
      </c>
      <c r="G11" s="2" t="str">
        <f>IF($D11="","",INDEX('02_能力差距自评'!$E:$E,MATCH($D11,'02_能力差距自评'!$F:$F,0)))</f>
        <v/>
      </c>
      <c r="H11" s="2" t="str">
        <f>IF($D11="","",INDEX('02_能力差距自评'!$L:$L,MATCH($D11,'02_能力差距自评'!$F:$F,0)))</f>
        <v/>
      </c>
      <c r="I11" s="2" t="str">
        <f>IF($D11="","",INDEX('02_能力差距自评'!$M:$M,MATCH($D11,'02_能力差距自评'!$F:$F,0)))</f>
        <v/>
      </c>
      <c r="J11" s="2" t="str">
        <f>IF($D11="","",INDEX('02_能力差距自评'!$N:$N,MATCH($D11,'02_能力差距自评'!$F:$F,0)))</f>
        <v/>
      </c>
      <c r="K11" s="4" t="str">
        <f>IF($D11="","",INDEX('02_能力差距自评'!$O:$O,MATCH($D11,'02_能力差距自评'!$F:$F,0)))</f>
        <v/>
      </c>
      <c r="L11" s="4" t="str">
        <f>IF($D11="","",INDEX('02_能力差距自评'!$I:$I,MATCH($D11,'02_能力差距自评'!$F:$F,0)))</f>
        <v/>
      </c>
      <c r="M11" s="2" t="str">
        <f t="shared" si="0"/>
        <v/>
      </c>
      <c r="N11" s="2" t="str">
        <f>IF($D11="","",INDEX('02_能力差距自评'!$J:$J,MATCH($D11,'02_能力差距自评'!$F:$F,0)))</f>
        <v/>
      </c>
      <c r="O11" s="2" t="str">
        <f>IF($D11="","",INDEX('02_能力差距自评'!$K:$K,MATCH($D11,'02_能力差距自评'!$F:$F,0)))</f>
        <v/>
      </c>
      <c r="P11" s="2"/>
      <c r="Q11" s="2"/>
      <c r="R11" s="2"/>
      <c r="S11" s="8" t="str">
        <f t="shared" si="1"/>
        <v/>
      </c>
      <c r="T11" s="8"/>
      <c r="U11" s="8"/>
      <c r="V11" s="8"/>
    </row>
    <row r="12" spans="1:22" ht="13.9">
      <c r="A12" s="2" t="str">
        <f>IF($D12="","","LP"&amp;TEXT(ROWS($A$2:A12),"000"))</f>
        <v/>
      </c>
      <c r="B12" s="2" t="str">
        <f>IF($D12="","",IFERROR(INDEX('02_能力差距自评'!$Q:$Q,MATCH($D12,'02_能力差距自评'!$F:$F,0)),""))</f>
        <v/>
      </c>
      <c r="C12" s="2" t="str">
        <f>IF($D12="","",IFERROR(INDEX('02_能力差距自评'!$R:$R,MATCH($D12,'02_能力差距自评'!$F:$F,0)),""))</f>
        <v/>
      </c>
      <c r="D12" s="2" t="str">
        <f>IFERROR(INDEX('02_能力差距自评'!$F$2:$F$311,MATCH(ROWS($D$2:D12),'02_能力差距自评'!$W$2:$W$311,0)),"")</f>
        <v/>
      </c>
      <c r="E12" s="2" t="str">
        <f>IF($D12="","",INDEX('02_能力差距自评'!$G:$G,MATCH($D12,'02_能力差距自评'!$F:$F,0)))</f>
        <v/>
      </c>
      <c r="F12" s="2" t="str">
        <f>IF($D12="","",INDEX('02_能力差距自评'!$C:$C,MATCH($D12,'02_能力差距自评'!$F:$F,0)))</f>
        <v/>
      </c>
      <c r="G12" s="2" t="str">
        <f>IF($D12="","",INDEX('02_能力差距自评'!$E:$E,MATCH($D12,'02_能力差距自评'!$F:$F,0)))</f>
        <v/>
      </c>
      <c r="H12" s="2" t="str">
        <f>IF($D12="","",INDEX('02_能力差距自评'!$L:$L,MATCH($D12,'02_能力差距自评'!$F:$F,0)))</f>
        <v/>
      </c>
      <c r="I12" s="2" t="str">
        <f>IF($D12="","",INDEX('02_能力差距自评'!$M:$M,MATCH($D12,'02_能力差距自评'!$F:$F,0)))</f>
        <v/>
      </c>
      <c r="J12" s="2" t="str">
        <f>IF($D12="","",INDEX('02_能力差距自评'!$N:$N,MATCH($D12,'02_能力差距自评'!$F:$F,0)))</f>
        <v/>
      </c>
      <c r="K12" s="4" t="str">
        <f>IF($D12="","",INDEX('02_能力差距自评'!$O:$O,MATCH($D12,'02_能力差距自评'!$F:$F,0)))</f>
        <v/>
      </c>
      <c r="L12" s="4" t="str">
        <f>IF($D12="","",INDEX('02_能力差距自评'!$I:$I,MATCH($D12,'02_能力差距自评'!$F:$F,0)))</f>
        <v/>
      </c>
      <c r="M12" s="2" t="str">
        <f t="shared" si="0"/>
        <v/>
      </c>
      <c r="N12" s="2" t="str">
        <f>IF($D12="","",INDEX('02_能力差距自评'!$J:$J,MATCH($D12,'02_能力差距自评'!$F:$F,0)))</f>
        <v/>
      </c>
      <c r="O12" s="2" t="str">
        <f>IF($D12="","",INDEX('02_能力差距自评'!$K:$K,MATCH($D12,'02_能力差距自评'!$F:$F,0)))</f>
        <v/>
      </c>
      <c r="P12" s="2"/>
      <c r="Q12" s="2"/>
      <c r="R12" s="2"/>
      <c r="S12" s="8" t="str">
        <f t="shared" si="1"/>
        <v/>
      </c>
      <c r="T12" s="8"/>
      <c r="U12" s="8"/>
      <c r="V12" s="8"/>
    </row>
    <row r="13" spans="1:22" ht="13.9">
      <c r="A13" s="2" t="str">
        <f>IF($D13="","","LP"&amp;TEXT(ROWS($A$2:A13),"000"))</f>
        <v/>
      </c>
      <c r="B13" s="2" t="str">
        <f>IF($D13="","",IFERROR(INDEX('02_能力差距自评'!$Q:$Q,MATCH($D13,'02_能力差距自评'!$F:$F,0)),""))</f>
        <v/>
      </c>
      <c r="C13" s="2" t="str">
        <f>IF($D13="","",IFERROR(INDEX('02_能力差距自评'!$R:$R,MATCH($D13,'02_能力差距自评'!$F:$F,0)),""))</f>
        <v/>
      </c>
      <c r="D13" s="2" t="str">
        <f>IFERROR(INDEX('02_能力差距自评'!$F$2:$F$311,MATCH(ROWS($D$2:D13),'02_能力差距自评'!$W$2:$W$311,0)),"")</f>
        <v/>
      </c>
      <c r="E13" s="2" t="str">
        <f>IF($D13="","",INDEX('02_能力差距自评'!$G:$G,MATCH($D13,'02_能力差距自评'!$F:$F,0)))</f>
        <v/>
      </c>
      <c r="F13" s="2" t="str">
        <f>IF($D13="","",INDEX('02_能力差距自评'!$C:$C,MATCH($D13,'02_能力差距自评'!$F:$F,0)))</f>
        <v/>
      </c>
      <c r="G13" s="2" t="str">
        <f>IF($D13="","",INDEX('02_能力差距自评'!$E:$E,MATCH($D13,'02_能力差距自评'!$F:$F,0)))</f>
        <v/>
      </c>
      <c r="H13" s="2" t="str">
        <f>IF($D13="","",INDEX('02_能力差距自评'!$L:$L,MATCH($D13,'02_能力差距自评'!$F:$F,0)))</f>
        <v/>
      </c>
      <c r="I13" s="2" t="str">
        <f>IF($D13="","",INDEX('02_能力差距自评'!$M:$M,MATCH($D13,'02_能力差距自评'!$F:$F,0)))</f>
        <v/>
      </c>
      <c r="J13" s="2" t="str">
        <f>IF($D13="","",INDEX('02_能力差距自评'!$N:$N,MATCH($D13,'02_能力差距自评'!$F:$F,0)))</f>
        <v/>
      </c>
      <c r="K13" s="4" t="str">
        <f>IF($D13="","",INDEX('02_能力差距自评'!$O:$O,MATCH($D13,'02_能力差距自评'!$F:$F,0)))</f>
        <v/>
      </c>
      <c r="L13" s="4" t="str">
        <f>IF($D13="","",INDEX('02_能力差距自评'!$I:$I,MATCH($D13,'02_能力差距自评'!$F:$F,0)))</f>
        <v/>
      </c>
      <c r="M13" s="2" t="str">
        <f t="shared" si="0"/>
        <v/>
      </c>
      <c r="N13" s="2" t="str">
        <f>IF($D13="","",INDEX('02_能力差距自评'!$J:$J,MATCH($D13,'02_能力差距自评'!$F:$F,0)))</f>
        <v/>
      </c>
      <c r="O13" s="2" t="str">
        <f>IF($D13="","",INDEX('02_能力差距自评'!$K:$K,MATCH($D13,'02_能力差距自评'!$F:$F,0)))</f>
        <v/>
      </c>
      <c r="P13" s="2"/>
      <c r="Q13" s="2"/>
      <c r="R13" s="2"/>
      <c r="S13" s="8" t="str">
        <f t="shared" si="1"/>
        <v/>
      </c>
      <c r="T13" s="8"/>
      <c r="U13" s="8"/>
      <c r="V13" s="8"/>
    </row>
    <row r="14" spans="1:22" ht="13.9">
      <c r="A14" s="2" t="str">
        <f>IF($D14="","","LP"&amp;TEXT(ROWS($A$2:A14),"000"))</f>
        <v/>
      </c>
      <c r="B14" s="2" t="str">
        <f>IF($D14="","",IFERROR(INDEX('02_能力差距自评'!$Q:$Q,MATCH($D14,'02_能力差距自评'!$F:$F,0)),""))</f>
        <v/>
      </c>
      <c r="C14" s="2" t="str">
        <f>IF($D14="","",IFERROR(INDEX('02_能力差距自评'!$R:$R,MATCH($D14,'02_能力差距自评'!$F:$F,0)),""))</f>
        <v/>
      </c>
      <c r="D14" s="2" t="str">
        <f>IFERROR(INDEX('02_能力差距自评'!$F$2:$F$311,MATCH(ROWS($D$2:D14),'02_能力差距自评'!$W$2:$W$311,0)),"")</f>
        <v/>
      </c>
      <c r="E14" s="2" t="str">
        <f>IF($D14="","",INDEX('02_能力差距自评'!$G:$G,MATCH($D14,'02_能力差距自评'!$F:$F,0)))</f>
        <v/>
      </c>
      <c r="F14" s="2" t="str">
        <f>IF($D14="","",INDEX('02_能力差距自评'!$C:$C,MATCH($D14,'02_能力差距自评'!$F:$F,0)))</f>
        <v/>
      </c>
      <c r="G14" s="2" t="str">
        <f>IF($D14="","",INDEX('02_能力差距自评'!$E:$E,MATCH($D14,'02_能力差距自评'!$F:$F,0)))</f>
        <v/>
      </c>
      <c r="H14" s="2" t="str">
        <f>IF($D14="","",INDEX('02_能力差距自评'!$L:$L,MATCH($D14,'02_能力差距自评'!$F:$F,0)))</f>
        <v/>
      </c>
      <c r="I14" s="2" t="str">
        <f>IF($D14="","",INDEX('02_能力差距自评'!$M:$M,MATCH($D14,'02_能力差距自评'!$F:$F,0)))</f>
        <v/>
      </c>
      <c r="J14" s="2" t="str">
        <f>IF($D14="","",INDEX('02_能力差距自评'!$N:$N,MATCH($D14,'02_能力差距自评'!$F:$F,0)))</f>
        <v/>
      </c>
      <c r="K14" s="4" t="str">
        <f>IF($D14="","",INDEX('02_能力差距自评'!$O:$O,MATCH($D14,'02_能力差距自评'!$F:$F,0)))</f>
        <v/>
      </c>
      <c r="L14" s="4" t="str">
        <f>IF($D14="","",INDEX('02_能力差距自评'!$I:$I,MATCH($D14,'02_能力差距自评'!$F:$F,0)))</f>
        <v/>
      </c>
      <c r="M14" s="2" t="str">
        <f t="shared" si="0"/>
        <v/>
      </c>
      <c r="N14" s="2" t="str">
        <f>IF($D14="","",INDEX('02_能力差距自评'!$J:$J,MATCH($D14,'02_能力差距自评'!$F:$F,0)))</f>
        <v/>
      </c>
      <c r="O14" s="2" t="str">
        <f>IF($D14="","",INDEX('02_能力差距自评'!$K:$K,MATCH($D14,'02_能力差距自评'!$F:$F,0)))</f>
        <v/>
      </c>
      <c r="P14" s="2"/>
      <c r="Q14" s="2"/>
      <c r="R14" s="2"/>
      <c r="S14" s="8" t="str">
        <f t="shared" si="1"/>
        <v/>
      </c>
      <c r="T14" s="8"/>
      <c r="U14" s="8"/>
      <c r="V14" s="8"/>
    </row>
    <row r="15" spans="1:22" ht="13.9">
      <c r="A15" s="2" t="str">
        <f>IF($D15="","","LP"&amp;TEXT(ROWS($A$2:A15),"000"))</f>
        <v/>
      </c>
      <c r="B15" s="2" t="str">
        <f>IF($D15="","",IFERROR(INDEX('02_能力差距自评'!$Q:$Q,MATCH($D15,'02_能力差距自评'!$F:$F,0)),""))</f>
        <v/>
      </c>
      <c r="C15" s="2" t="str">
        <f>IF($D15="","",IFERROR(INDEX('02_能力差距自评'!$R:$R,MATCH($D15,'02_能力差距自评'!$F:$F,0)),""))</f>
        <v/>
      </c>
      <c r="D15" s="2" t="str">
        <f>IFERROR(INDEX('02_能力差距自评'!$F$2:$F$311,MATCH(ROWS($D$2:D15),'02_能力差距自评'!$W$2:$W$311,0)),"")</f>
        <v/>
      </c>
      <c r="E15" s="2" t="str">
        <f>IF($D15="","",INDEX('02_能力差距自评'!$G:$G,MATCH($D15,'02_能力差距自评'!$F:$F,0)))</f>
        <v/>
      </c>
      <c r="F15" s="2" t="str">
        <f>IF($D15="","",INDEX('02_能力差距自评'!$C:$C,MATCH($D15,'02_能力差距自评'!$F:$F,0)))</f>
        <v/>
      </c>
      <c r="G15" s="2" t="str">
        <f>IF($D15="","",INDEX('02_能力差距自评'!$E:$E,MATCH($D15,'02_能力差距自评'!$F:$F,0)))</f>
        <v/>
      </c>
      <c r="H15" s="2" t="str">
        <f>IF($D15="","",INDEX('02_能力差距自评'!$L:$L,MATCH($D15,'02_能力差距自评'!$F:$F,0)))</f>
        <v/>
      </c>
      <c r="I15" s="2" t="str">
        <f>IF($D15="","",INDEX('02_能力差距自评'!$M:$M,MATCH($D15,'02_能力差距自评'!$F:$F,0)))</f>
        <v/>
      </c>
      <c r="J15" s="2" t="str">
        <f>IF($D15="","",INDEX('02_能力差距自评'!$N:$N,MATCH($D15,'02_能力差距自评'!$F:$F,0)))</f>
        <v/>
      </c>
      <c r="K15" s="4" t="str">
        <f>IF($D15="","",INDEX('02_能力差距自评'!$O:$O,MATCH($D15,'02_能力差距自评'!$F:$F,0)))</f>
        <v/>
      </c>
      <c r="L15" s="4" t="str">
        <f>IF($D15="","",INDEX('02_能力差距自评'!$I:$I,MATCH($D15,'02_能力差距自评'!$F:$F,0)))</f>
        <v/>
      </c>
      <c r="M15" s="2" t="str">
        <f t="shared" si="0"/>
        <v/>
      </c>
      <c r="N15" s="2" t="str">
        <f>IF($D15="","",INDEX('02_能力差距自评'!$J:$J,MATCH($D15,'02_能力差距自评'!$F:$F,0)))</f>
        <v/>
      </c>
      <c r="O15" s="2" t="str">
        <f>IF($D15="","",INDEX('02_能力差距自评'!$K:$K,MATCH($D15,'02_能力差距自评'!$F:$F,0)))</f>
        <v/>
      </c>
      <c r="P15" s="2"/>
      <c r="Q15" s="2"/>
      <c r="R15" s="2"/>
      <c r="S15" s="8" t="str">
        <f t="shared" si="1"/>
        <v/>
      </c>
      <c r="T15" s="8"/>
      <c r="U15" s="8"/>
      <c r="V15" s="8"/>
    </row>
    <row r="16" spans="1:22" ht="13.9">
      <c r="A16" s="2" t="str">
        <f>IF($D16="","","LP"&amp;TEXT(ROWS($A$2:A16),"000"))</f>
        <v/>
      </c>
      <c r="B16" s="2" t="str">
        <f>IF($D16="","",IFERROR(INDEX('02_能力差距自评'!$Q:$Q,MATCH($D16,'02_能力差距自评'!$F:$F,0)),""))</f>
        <v/>
      </c>
      <c r="C16" s="2" t="str">
        <f>IF($D16="","",IFERROR(INDEX('02_能力差距自评'!$R:$R,MATCH($D16,'02_能力差距自评'!$F:$F,0)),""))</f>
        <v/>
      </c>
      <c r="D16" s="2" t="str">
        <f>IFERROR(INDEX('02_能力差距自评'!$F$2:$F$311,MATCH(ROWS($D$2:D16),'02_能力差距自评'!$W$2:$W$311,0)),"")</f>
        <v/>
      </c>
      <c r="E16" s="2" t="str">
        <f>IF($D16="","",INDEX('02_能力差距自评'!$G:$G,MATCH($D16,'02_能力差距自评'!$F:$F,0)))</f>
        <v/>
      </c>
      <c r="F16" s="2" t="str">
        <f>IF($D16="","",INDEX('02_能力差距自评'!$C:$C,MATCH($D16,'02_能力差距自评'!$F:$F,0)))</f>
        <v/>
      </c>
      <c r="G16" s="2" t="str">
        <f>IF($D16="","",INDEX('02_能力差距自评'!$E:$E,MATCH($D16,'02_能力差距自评'!$F:$F,0)))</f>
        <v/>
      </c>
      <c r="H16" s="2" t="str">
        <f>IF($D16="","",INDEX('02_能力差距自评'!$L:$L,MATCH($D16,'02_能力差距自评'!$F:$F,0)))</f>
        <v/>
      </c>
      <c r="I16" s="2" t="str">
        <f>IF($D16="","",INDEX('02_能力差距自评'!$M:$M,MATCH($D16,'02_能力差距自评'!$F:$F,0)))</f>
        <v/>
      </c>
      <c r="J16" s="2" t="str">
        <f>IF($D16="","",INDEX('02_能力差距自评'!$N:$N,MATCH($D16,'02_能力差距自评'!$F:$F,0)))</f>
        <v/>
      </c>
      <c r="K16" s="4" t="str">
        <f>IF($D16="","",INDEX('02_能力差距自评'!$O:$O,MATCH($D16,'02_能力差距自评'!$F:$F,0)))</f>
        <v/>
      </c>
      <c r="L16" s="4" t="str">
        <f>IF($D16="","",INDEX('02_能力差距自评'!$I:$I,MATCH($D16,'02_能力差距自评'!$F:$F,0)))</f>
        <v/>
      </c>
      <c r="M16" s="2" t="str">
        <f t="shared" si="0"/>
        <v/>
      </c>
      <c r="N16" s="2" t="str">
        <f>IF($D16="","",INDEX('02_能力差距自评'!$J:$J,MATCH($D16,'02_能力差距自评'!$F:$F,0)))</f>
        <v/>
      </c>
      <c r="O16" s="2" t="str">
        <f>IF($D16="","",INDEX('02_能力差距自评'!$K:$K,MATCH($D16,'02_能力差距自评'!$F:$F,0)))</f>
        <v/>
      </c>
      <c r="P16" s="2"/>
      <c r="Q16" s="2"/>
      <c r="R16" s="2"/>
      <c r="S16" s="8" t="str">
        <f t="shared" si="1"/>
        <v/>
      </c>
      <c r="T16" s="8"/>
      <c r="U16" s="8"/>
      <c r="V16" s="8"/>
    </row>
    <row r="17" spans="1:22" ht="13.9">
      <c r="A17" s="2" t="str">
        <f>IF($D17="","","LP"&amp;TEXT(ROWS($A$2:A17),"000"))</f>
        <v/>
      </c>
      <c r="B17" s="2" t="str">
        <f>IF($D17="","",IFERROR(INDEX('02_能力差距自评'!$Q:$Q,MATCH($D17,'02_能力差距自评'!$F:$F,0)),""))</f>
        <v/>
      </c>
      <c r="C17" s="2" t="str">
        <f>IF($D17="","",IFERROR(INDEX('02_能力差距自评'!$R:$R,MATCH($D17,'02_能力差距自评'!$F:$F,0)),""))</f>
        <v/>
      </c>
      <c r="D17" s="2" t="str">
        <f>IFERROR(INDEX('02_能力差距自评'!$F$2:$F$311,MATCH(ROWS($D$2:D17),'02_能力差距自评'!$W$2:$W$311,0)),"")</f>
        <v/>
      </c>
      <c r="E17" s="2" t="str">
        <f>IF($D17="","",INDEX('02_能力差距自评'!$G:$G,MATCH($D17,'02_能力差距自评'!$F:$F,0)))</f>
        <v/>
      </c>
      <c r="F17" s="2" t="str">
        <f>IF($D17="","",INDEX('02_能力差距自评'!$C:$C,MATCH($D17,'02_能力差距自评'!$F:$F,0)))</f>
        <v/>
      </c>
      <c r="G17" s="2" t="str">
        <f>IF($D17="","",INDEX('02_能力差距自评'!$E:$E,MATCH($D17,'02_能力差距自评'!$F:$F,0)))</f>
        <v/>
      </c>
      <c r="H17" s="2" t="str">
        <f>IF($D17="","",INDEX('02_能力差距自评'!$L:$L,MATCH($D17,'02_能力差距自评'!$F:$F,0)))</f>
        <v/>
      </c>
      <c r="I17" s="2" t="str">
        <f>IF($D17="","",INDEX('02_能力差距自评'!$M:$M,MATCH($D17,'02_能力差距自评'!$F:$F,0)))</f>
        <v/>
      </c>
      <c r="J17" s="2" t="str">
        <f>IF($D17="","",INDEX('02_能力差距自评'!$N:$N,MATCH($D17,'02_能力差距自评'!$F:$F,0)))</f>
        <v/>
      </c>
      <c r="K17" s="4" t="str">
        <f>IF($D17="","",INDEX('02_能力差距自评'!$O:$O,MATCH($D17,'02_能力差距自评'!$F:$F,0)))</f>
        <v/>
      </c>
      <c r="L17" s="4" t="str">
        <f>IF($D17="","",INDEX('02_能力差距自评'!$I:$I,MATCH($D17,'02_能力差距自评'!$F:$F,0)))</f>
        <v/>
      </c>
      <c r="M17" s="2" t="str">
        <f t="shared" si="0"/>
        <v/>
      </c>
      <c r="N17" s="2" t="str">
        <f>IF($D17="","",INDEX('02_能力差距自评'!$J:$J,MATCH($D17,'02_能力差距自评'!$F:$F,0)))</f>
        <v/>
      </c>
      <c r="O17" s="2" t="str">
        <f>IF($D17="","",INDEX('02_能力差距自评'!$K:$K,MATCH($D17,'02_能力差距自评'!$F:$F,0)))</f>
        <v/>
      </c>
      <c r="P17" s="2"/>
      <c r="Q17" s="2"/>
      <c r="R17" s="2"/>
      <c r="S17" s="8" t="str">
        <f t="shared" si="1"/>
        <v/>
      </c>
      <c r="T17" s="8"/>
      <c r="U17" s="8"/>
      <c r="V17" s="8"/>
    </row>
    <row r="18" spans="1:22" ht="13.9">
      <c r="A18" s="2" t="str">
        <f>IF($D18="","","LP"&amp;TEXT(ROWS($A$2:A18),"000"))</f>
        <v/>
      </c>
      <c r="B18" s="2" t="str">
        <f>IF($D18="","",IFERROR(INDEX('02_能力差距自评'!$Q:$Q,MATCH($D18,'02_能力差距自评'!$F:$F,0)),""))</f>
        <v/>
      </c>
      <c r="C18" s="2" t="str">
        <f>IF($D18="","",IFERROR(INDEX('02_能力差距自评'!$R:$R,MATCH($D18,'02_能力差距自评'!$F:$F,0)),""))</f>
        <v/>
      </c>
      <c r="D18" s="2" t="str">
        <f>IFERROR(INDEX('02_能力差距自评'!$F$2:$F$311,MATCH(ROWS($D$2:D18),'02_能力差距自评'!$W$2:$W$311,0)),"")</f>
        <v/>
      </c>
      <c r="E18" s="2" t="str">
        <f>IF($D18="","",INDEX('02_能力差距自评'!$G:$G,MATCH($D18,'02_能力差距自评'!$F:$F,0)))</f>
        <v/>
      </c>
      <c r="F18" s="2" t="str">
        <f>IF($D18="","",INDEX('02_能力差距自评'!$C:$C,MATCH($D18,'02_能力差距自评'!$F:$F,0)))</f>
        <v/>
      </c>
      <c r="G18" s="2" t="str">
        <f>IF($D18="","",INDEX('02_能力差距自评'!$E:$E,MATCH($D18,'02_能力差距自评'!$F:$F,0)))</f>
        <v/>
      </c>
      <c r="H18" s="2" t="str">
        <f>IF($D18="","",INDEX('02_能力差距自评'!$L:$L,MATCH($D18,'02_能力差距自评'!$F:$F,0)))</f>
        <v/>
      </c>
      <c r="I18" s="2" t="str">
        <f>IF($D18="","",INDEX('02_能力差距自评'!$M:$M,MATCH($D18,'02_能力差距自评'!$F:$F,0)))</f>
        <v/>
      </c>
      <c r="J18" s="2" t="str">
        <f>IF($D18="","",INDEX('02_能力差距自评'!$N:$N,MATCH($D18,'02_能力差距自评'!$F:$F,0)))</f>
        <v/>
      </c>
      <c r="K18" s="4" t="str">
        <f>IF($D18="","",INDEX('02_能力差距自评'!$O:$O,MATCH($D18,'02_能力差距自评'!$F:$F,0)))</f>
        <v/>
      </c>
      <c r="L18" s="4" t="str">
        <f>IF($D18="","",INDEX('02_能力差距自评'!$I:$I,MATCH($D18,'02_能力差距自评'!$F:$F,0)))</f>
        <v/>
      </c>
      <c r="M18" s="2" t="str">
        <f t="shared" si="0"/>
        <v/>
      </c>
      <c r="N18" s="2" t="str">
        <f>IF($D18="","",INDEX('02_能力差距自评'!$J:$J,MATCH($D18,'02_能力差距自评'!$F:$F,0)))</f>
        <v/>
      </c>
      <c r="O18" s="2" t="str">
        <f>IF($D18="","",INDEX('02_能力差距自评'!$K:$K,MATCH($D18,'02_能力差距自评'!$F:$F,0)))</f>
        <v/>
      </c>
      <c r="P18" s="2"/>
      <c r="Q18" s="2"/>
      <c r="R18" s="2"/>
      <c r="S18" s="8" t="str">
        <f t="shared" si="1"/>
        <v/>
      </c>
      <c r="T18" s="8"/>
      <c r="U18" s="8"/>
      <c r="V18" s="8"/>
    </row>
    <row r="19" spans="1:22" ht="13.9">
      <c r="A19" s="2" t="str">
        <f>IF($D19="","","LP"&amp;TEXT(ROWS($A$2:A19),"000"))</f>
        <v/>
      </c>
      <c r="B19" s="2" t="str">
        <f>IF($D19="","",IFERROR(INDEX('02_能力差距自评'!$Q:$Q,MATCH($D19,'02_能力差距自评'!$F:$F,0)),""))</f>
        <v/>
      </c>
      <c r="C19" s="2" t="str">
        <f>IF($D19="","",IFERROR(INDEX('02_能力差距自评'!$R:$R,MATCH($D19,'02_能力差距自评'!$F:$F,0)),""))</f>
        <v/>
      </c>
      <c r="D19" s="2" t="str">
        <f>IFERROR(INDEX('02_能力差距自评'!$F$2:$F$311,MATCH(ROWS($D$2:D19),'02_能力差距自评'!$W$2:$W$311,0)),"")</f>
        <v/>
      </c>
      <c r="E19" s="2" t="str">
        <f>IF($D19="","",INDEX('02_能力差距自评'!$G:$G,MATCH($D19,'02_能力差距自评'!$F:$F,0)))</f>
        <v/>
      </c>
      <c r="F19" s="2" t="str">
        <f>IF($D19="","",INDEX('02_能力差距自评'!$C:$C,MATCH($D19,'02_能力差距自评'!$F:$F,0)))</f>
        <v/>
      </c>
      <c r="G19" s="2" t="str">
        <f>IF($D19="","",INDEX('02_能力差距自评'!$E:$E,MATCH($D19,'02_能力差距自评'!$F:$F,0)))</f>
        <v/>
      </c>
      <c r="H19" s="2" t="str">
        <f>IF($D19="","",INDEX('02_能力差距自评'!$L:$L,MATCH($D19,'02_能力差距自评'!$F:$F,0)))</f>
        <v/>
      </c>
      <c r="I19" s="2" t="str">
        <f>IF($D19="","",INDEX('02_能力差距自评'!$M:$M,MATCH($D19,'02_能力差距自评'!$F:$F,0)))</f>
        <v/>
      </c>
      <c r="J19" s="2" t="str">
        <f>IF($D19="","",INDEX('02_能力差距自评'!$N:$N,MATCH($D19,'02_能力差距自评'!$F:$F,0)))</f>
        <v/>
      </c>
      <c r="K19" s="4" t="str">
        <f>IF($D19="","",INDEX('02_能力差距自评'!$O:$O,MATCH($D19,'02_能力差距自评'!$F:$F,0)))</f>
        <v/>
      </c>
      <c r="L19" s="4" t="str">
        <f>IF($D19="","",INDEX('02_能力差距自评'!$I:$I,MATCH($D19,'02_能力差距自评'!$F:$F,0)))</f>
        <v/>
      </c>
      <c r="M19" s="2" t="str">
        <f t="shared" si="0"/>
        <v/>
      </c>
      <c r="N19" s="2" t="str">
        <f>IF($D19="","",INDEX('02_能力差距自评'!$J:$J,MATCH($D19,'02_能力差距自评'!$F:$F,0)))</f>
        <v/>
      </c>
      <c r="O19" s="2" t="str">
        <f>IF($D19="","",INDEX('02_能力差距自评'!$K:$K,MATCH($D19,'02_能力差距自评'!$F:$F,0)))</f>
        <v/>
      </c>
      <c r="P19" s="2"/>
      <c r="Q19" s="2"/>
      <c r="R19" s="2"/>
      <c r="S19" s="8" t="str">
        <f t="shared" si="1"/>
        <v/>
      </c>
      <c r="T19" s="8"/>
      <c r="U19" s="8"/>
      <c r="V19" s="8"/>
    </row>
    <row r="20" spans="1:22" ht="13.9">
      <c r="A20" s="2" t="str">
        <f>IF($D20="","","LP"&amp;TEXT(ROWS($A$2:A20),"000"))</f>
        <v/>
      </c>
      <c r="B20" s="2" t="str">
        <f>IF($D20="","",IFERROR(INDEX('02_能力差距自评'!$Q:$Q,MATCH($D20,'02_能力差距自评'!$F:$F,0)),""))</f>
        <v/>
      </c>
      <c r="C20" s="2" t="str">
        <f>IF($D20="","",IFERROR(INDEX('02_能力差距自评'!$R:$R,MATCH($D20,'02_能力差距自评'!$F:$F,0)),""))</f>
        <v/>
      </c>
      <c r="D20" s="2" t="str">
        <f>IFERROR(INDEX('02_能力差距自评'!$F$2:$F$311,MATCH(ROWS($D$2:D20),'02_能力差距自评'!$W$2:$W$311,0)),"")</f>
        <v/>
      </c>
      <c r="E20" s="2" t="str">
        <f>IF($D20="","",INDEX('02_能力差距自评'!$G:$G,MATCH($D20,'02_能力差距自评'!$F:$F,0)))</f>
        <v/>
      </c>
      <c r="F20" s="2" t="str">
        <f>IF($D20="","",INDEX('02_能力差距自评'!$C:$C,MATCH($D20,'02_能力差距自评'!$F:$F,0)))</f>
        <v/>
      </c>
      <c r="G20" s="2" t="str">
        <f>IF($D20="","",INDEX('02_能力差距自评'!$E:$E,MATCH($D20,'02_能力差距自评'!$F:$F,0)))</f>
        <v/>
      </c>
      <c r="H20" s="2" t="str">
        <f>IF($D20="","",INDEX('02_能力差距自评'!$L:$L,MATCH($D20,'02_能力差距自评'!$F:$F,0)))</f>
        <v/>
      </c>
      <c r="I20" s="2" t="str">
        <f>IF($D20="","",INDEX('02_能力差距自评'!$M:$M,MATCH($D20,'02_能力差距自评'!$F:$F,0)))</f>
        <v/>
      </c>
      <c r="J20" s="2" t="str">
        <f>IF($D20="","",INDEX('02_能力差距自评'!$N:$N,MATCH($D20,'02_能力差距自评'!$F:$F,0)))</f>
        <v/>
      </c>
      <c r="K20" s="4" t="str">
        <f>IF($D20="","",INDEX('02_能力差距自评'!$O:$O,MATCH($D20,'02_能力差距自评'!$F:$F,0)))</f>
        <v/>
      </c>
      <c r="L20" s="4" t="str">
        <f>IF($D20="","",INDEX('02_能力差距自评'!$I:$I,MATCH($D20,'02_能力差距自评'!$F:$F,0)))</f>
        <v/>
      </c>
      <c r="M20" s="2" t="str">
        <f t="shared" si="0"/>
        <v/>
      </c>
      <c r="N20" s="2" t="str">
        <f>IF($D20="","",INDEX('02_能力差距自评'!$J:$J,MATCH($D20,'02_能力差距自评'!$F:$F,0)))</f>
        <v/>
      </c>
      <c r="O20" s="2" t="str">
        <f>IF($D20="","",INDEX('02_能力差距自评'!$K:$K,MATCH($D20,'02_能力差距自评'!$F:$F,0)))</f>
        <v/>
      </c>
      <c r="P20" s="2"/>
      <c r="Q20" s="2"/>
      <c r="R20" s="2"/>
      <c r="S20" s="8" t="str">
        <f t="shared" si="1"/>
        <v/>
      </c>
      <c r="T20" s="8"/>
      <c r="U20" s="8"/>
      <c r="V20" s="8"/>
    </row>
    <row r="21" spans="1:22" ht="13.9">
      <c r="A21" s="2" t="str">
        <f>IF($D21="","","LP"&amp;TEXT(ROWS($A$2:A21),"000"))</f>
        <v/>
      </c>
      <c r="B21" s="2" t="str">
        <f>IF($D21="","",IFERROR(INDEX('02_能力差距自评'!$Q:$Q,MATCH($D21,'02_能力差距自评'!$F:$F,0)),""))</f>
        <v/>
      </c>
      <c r="C21" s="2" t="str">
        <f>IF($D21="","",IFERROR(INDEX('02_能力差距自评'!$R:$R,MATCH($D21,'02_能力差距自评'!$F:$F,0)),""))</f>
        <v/>
      </c>
      <c r="D21" s="2" t="str">
        <f>IFERROR(INDEX('02_能力差距自评'!$F$2:$F$311,MATCH(ROWS($D$2:D21),'02_能力差距自评'!$W$2:$W$311,0)),"")</f>
        <v/>
      </c>
      <c r="E21" s="2" t="str">
        <f>IF($D21="","",INDEX('02_能力差距自评'!$G:$G,MATCH($D21,'02_能力差距自评'!$F:$F,0)))</f>
        <v/>
      </c>
      <c r="F21" s="2" t="str">
        <f>IF($D21="","",INDEX('02_能力差距自评'!$C:$C,MATCH($D21,'02_能力差距自评'!$F:$F,0)))</f>
        <v/>
      </c>
      <c r="G21" s="2" t="str">
        <f>IF($D21="","",INDEX('02_能力差距自评'!$E:$E,MATCH($D21,'02_能力差距自评'!$F:$F,0)))</f>
        <v/>
      </c>
      <c r="H21" s="2" t="str">
        <f>IF($D21="","",INDEX('02_能力差距自评'!$L:$L,MATCH($D21,'02_能力差距自评'!$F:$F,0)))</f>
        <v/>
      </c>
      <c r="I21" s="2" t="str">
        <f>IF($D21="","",INDEX('02_能力差距自评'!$M:$M,MATCH($D21,'02_能力差距自评'!$F:$F,0)))</f>
        <v/>
      </c>
      <c r="J21" s="2" t="str">
        <f>IF($D21="","",INDEX('02_能力差距自评'!$N:$N,MATCH($D21,'02_能力差距自评'!$F:$F,0)))</f>
        <v/>
      </c>
      <c r="K21" s="4" t="str">
        <f>IF($D21="","",INDEX('02_能力差距自评'!$O:$O,MATCH($D21,'02_能力差距自评'!$F:$F,0)))</f>
        <v/>
      </c>
      <c r="L21" s="4" t="str">
        <f>IF($D21="","",INDEX('02_能力差距自评'!$I:$I,MATCH($D21,'02_能力差距自评'!$F:$F,0)))</f>
        <v/>
      </c>
      <c r="M21" s="2" t="str">
        <f t="shared" si="0"/>
        <v/>
      </c>
      <c r="N21" s="2" t="str">
        <f>IF($D21="","",INDEX('02_能力差距自评'!$J:$J,MATCH($D21,'02_能力差距自评'!$F:$F,0)))</f>
        <v/>
      </c>
      <c r="O21" s="2" t="str">
        <f>IF($D21="","",INDEX('02_能力差距自评'!$K:$K,MATCH($D21,'02_能力差距自评'!$F:$F,0)))</f>
        <v/>
      </c>
      <c r="P21" s="2"/>
      <c r="Q21" s="2"/>
      <c r="R21" s="2"/>
      <c r="S21" s="8" t="str">
        <f t="shared" si="1"/>
        <v/>
      </c>
      <c r="T21" s="8"/>
      <c r="U21" s="8"/>
      <c r="V21" s="8"/>
    </row>
    <row r="22" spans="1:22" ht="13.9">
      <c r="A22" s="2" t="str">
        <f>IF($D22="","","LP"&amp;TEXT(ROWS($A$2:A22),"000"))</f>
        <v/>
      </c>
      <c r="B22" s="2" t="str">
        <f>IF($D22="","",IFERROR(INDEX('02_能力差距自评'!$Q:$Q,MATCH($D22,'02_能力差距自评'!$F:$F,0)),""))</f>
        <v/>
      </c>
      <c r="C22" s="2" t="str">
        <f>IF($D22="","",IFERROR(INDEX('02_能力差距自评'!$R:$R,MATCH($D22,'02_能力差距自评'!$F:$F,0)),""))</f>
        <v/>
      </c>
      <c r="D22" s="2" t="str">
        <f>IFERROR(INDEX('02_能力差距自评'!$F$2:$F$311,MATCH(ROWS($D$2:D22),'02_能力差距自评'!$W$2:$W$311,0)),"")</f>
        <v/>
      </c>
      <c r="E22" s="2" t="str">
        <f>IF($D22="","",INDEX('02_能力差距自评'!$G:$G,MATCH($D22,'02_能力差距自评'!$F:$F,0)))</f>
        <v/>
      </c>
      <c r="F22" s="2" t="str">
        <f>IF($D22="","",INDEX('02_能力差距自评'!$C:$C,MATCH($D22,'02_能力差距自评'!$F:$F,0)))</f>
        <v/>
      </c>
      <c r="G22" s="2" t="str">
        <f>IF($D22="","",INDEX('02_能力差距自评'!$E:$E,MATCH($D22,'02_能力差距自评'!$F:$F,0)))</f>
        <v/>
      </c>
      <c r="H22" s="2" t="str">
        <f>IF($D22="","",INDEX('02_能力差距自评'!$L:$L,MATCH($D22,'02_能力差距自评'!$F:$F,0)))</f>
        <v/>
      </c>
      <c r="I22" s="2" t="str">
        <f>IF($D22="","",INDEX('02_能力差距自评'!$M:$M,MATCH($D22,'02_能力差距自评'!$F:$F,0)))</f>
        <v/>
      </c>
      <c r="J22" s="2" t="str">
        <f>IF($D22="","",INDEX('02_能力差距自评'!$N:$N,MATCH($D22,'02_能力差距自评'!$F:$F,0)))</f>
        <v/>
      </c>
      <c r="K22" s="4" t="str">
        <f>IF($D22="","",INDEX('02_能力差距自评'!$O:$O,MATCH($D22,'02_能力差距自评'!$F:$F,0)))</f>
        <v/>
      </c>
      <c r="L22" s="4" t="str">
        <f>IF($D22="","",INDEX('02_能力差距自评'!$I:$I,MATCH($D22,'02_能力差距自评'!$F:$F,0)))</f>
        <v/>
      </c>
      <c r="M22" s="2" t="str">
        <f t="shared" si="0"/>
        <v/>
      </c>
      <c r="N22" s="2" t="str">
        <f>IF($D22="","",INDEX('02_能力差距自评'!$J:$J,MATCH($D22,'02_能力差距自评'!$F:$F,0)))</f>
        <v/>
      </c>
      <c r="O22" s="2" t="str">
        <f>IF($D22="","",INDEX('02_能力差距自评'!$K:$K,MATCH($D22,'02_能力差距自评'!$F:$F,0)))</f>
        <v/>
      </c>
      <c r="P22" s="2"/>
      <c r="Q22" s="2"/>
      <c r="R22" s="2"/>
      <c r="S22" s="8" t="str">
        <f t="shared" si="1"/>
        <v/>
      </c>
      <c r="T22" s="8"/>
      <c r="U22" s="8"/>
      <c r="V22" s="8"/>
    </row>
    <row r="23" spans="1:22" ht="13.9">
      <c r="A23" s="2" t="str">
        <f>IF($D23="","","LP"&amp;TEXT(ROWS($A$2:A23),"000"))</f>
        <v/>
      </c>
      <c r="B23" s="2" t="str">
        <f>IF($D23="","",IFERROR(INDEX('02_能力差距自评'!$Q:$Q,MATCH($D23,'02_能力差距自评'!$F:$F,0)),""))</f>
        <v/>
      </c>
      <c r="C23" s="2" t="str">
        <f>IF($D23="","",IFERROR(INDEX('02_能力差距自评'!$R:$R,MATCH($D23,'02_能力差距自评'!$F:$F,0)),""))</f>
        <v/>
      </c>
      <c r="D23" s="2" t="str">
        <f>IFERROR(INDEX('02_能力差距自评'!$F$2:$F$311,MATCH(ROWS($D$2:D23),'02_能力差距自评'!$W$2:$W$311,0)),"")</f>
        <v/>
      </c>
      <c r="E23" s="2" t="str">
        <f>IF($D23="","",INDEX('02_能力差距自评'!$G:$G,MATCH($D23,'02_能力差距自评'!$F:$F,0)))</f>
        <v/>
      </c>
      <c r="F23" s="2" t="str">
        <f>IF($D23="","",INDEX('02_能力差距自评'!$C:$C,MATCH($D23,'02_能力差距自评'!$F:$F,0)))</f>
        <v/>
      </c>
      <c r="G23" s="2" t="str">
        <f>IF($D23="","",INDEX('02_能力差距自评'!$E:$E,MATCH($D23,'02_能力差距自评'!$F:$F,0)))</f>
        <v/>
      </c>
      <c r="H23" s="2" t="str">
        <f>IF($D23="","",INDEX('02_能力差距自评'!$L:$L,MATCH($D23,'02_能力差距自评'!$F:$F,0)))</f>
        <v/>
      </c>
      <c r="I23" s="2" t="str">
        <f>IF($D23="","",INDEX('02_能力差距自评'!$M:$M,MATCH($D23,'02_能力差距自评'!$F:$F,0)))</f>
        <v/>
      </c>
      <c r="J23" s="2" t="str">
        <f>IF($D23="","",INDEX('02_能力差距自评'!$N:$N,MATCH($D23,'02_能力差距自评'!$F:$F,0)))</f>
        <v/>
      </c>
      <c r="K23" s="4" t="str">
        <f>IF($D23="","",INDEX('02_能力差距自评'!$O:$O,MATCH($D23,'02_能力差距自评'!$F:$F,0)))</f>
        <v/>
      </c>
      <c r="L23" s="4" t="str">
        <f>IF($D23="","",INDEX('02_能力差距自评'!$I:$I,MATCH($D23,'02_能力差距自评'!$F:$F,0)))</f>
        <v/>
      </c>
      <c r="M23" s="2" t="str">
        <f t="shared" si="0"/>
        <v/>
      </c>
      <c r="N23" s="2" t="str">
        <f>IF($D23="","",INDEX('02_能力差距自评'!$J:$J,MATCH($D23,'02_能力差距自评'!$F:$F,0)))</f>
        <v/>
      </c>
      <c r="O23" s="2" t="str">
        <f>IF($D23="","",INDEX('02_能力差距自评'!$K:$K,MATCH($D23,'02_能力差距自评'!$F:$F,0)))</f>
        <v/>
      </c>
      <c r="P23" s="2"/>
      <c r="Q23" s="2"/>
      <c r="R23" s="2"/>
      <c r="S23" s="8" t="str">
        <f t="shared" si="1"/>
        <v/>
      </c>
      <c r="T23" s="8"/>
      <c r="U23" s="8"/>
      <c r="V23" s="8"/>
    </row>
    <row r="24" spans="1:22" ht="13.9">
      <c r="A24" s="2" t="str">
        <f>IF($D24="","","LP"&amp;TEXT(ROWS($A$2:A24),"000"))</f>
        <v/>
      </c>
      <c r="B24" s="2" t="str">
        <f>IF($D24="","",IFERROR(INDEX('02_能力差距自评'!$Q:$Q,MATCH($D24,'02_能力差距自评'!$F:$F,0)),""))</f>
        <v/>
      </c>
      <c r="C24" s="2" t="str">
        <f>IF($D24="","",IFERROR(INDEX('02_能力差距自评'!$R:$R,MATCH($D24,'02_能力差距自评'!$F:$F,0)),""))</f>
        <v/>
      </c>
      <c r="D24" s="2" t="str">
        <f>IFERROR(INDEX('02_能力差距自评'!$F$2:$F$311,MATCH(ROWS($D$2:D24),'02_能力差距自评'!$W$2:$W$311,0)),"")</f>
        <v/>
      </c>
      <c r="E24" s="2" t="str">
        <f>IF($D24="","",INDEX('02_能力差距自评'!$G:$G,MATCH($D24,'02_能力差距自评'!$F:$F,0)))</f>
        <v/>
      </c>
      <c r="F24" s="2" t="str">
        <f>IF($D24="","",INDEX('02_能力差距自评'!$C:$C,MATCH($D24,'02_能力差距自评'!$F:$F,0)))</f>
        <v/>
      </c>
      <c r="G24" s="2" t="str">
        <f>IF($D24="","",INDEX('02_能力差距自评'!$E:$E,MATCH($D24,'02_能力差距自评'!$F:$F,0)))</f>
        <v/>
      </c>
      <c r="H24" s="2" t="str">
        <f>IF($D24="","",INDEX('02_能力差距自评'!$L:$L,MATCH($D24,'02_能力差距自评'!$F:$F,0)))</f>
        <v/>
      </c>
      <c r="I24" s="2" t="str">
        <f>IF($D24="","",INDEX('02_能力差距自评'!$M:$M,MATCH($D24,'02_能力差距自评'!$F:$F,0)))</f>
        <v/>
      </c>
      <c r="J24" s="2" t="str">
        <f>IF($D24="","",INDEX('02_能力差距自评'!$N:$N,MATCH($D24,'02_能力差距自评'!$F:$F,0)))</f>
        <v/>
      </c>
      <c r="K24" s="4" t="str">
        <f>IF($D24="","",INDEX('02_能力差距自评'!$O:$O,MATCH($D24,'02_能力差距自评'!$F:$F,0)))</f>
        <v/>
      </c>
      <c r="L24" s="4" t="str">
        <f>IF($D24="","",INDEX('02_能力差距自评'!$I:$I,MATCH($D24,'02_能力差距自评'!$F:$F,0)))</f>
        <v/>
      </c>
      <c r="M24" s="2" t="str">
        <f t="shared" si="0"/>
        <v/>
      </c>
      <c r="N24" s="2" t="str">
        <f>IF($D24="","",INDEX('02_能力差距自评'!$J:$J,MATCH($D24,'02_能力差距自评'!$F:$F,0)))</f>
        <v/>
      </c>
      <c r="O24" s="2" t="str">
        <f>IF($D24="","",INDEX('02_能力差距自评'!$K:$K,MATCH($D24,'02_能力差距自评'!$F:$F,0)))</f>
        <v/>
      </c>
      <c r="P24" s="2"/>
      <c r="Q24" s="2"/>
      <c r="R24" s="2"/>
      <c r="S24" s="8" t="str">
        <f t="shared" si="1"/>
        <v/>
      </c>
      <c r="T24" s="8"/>
      <c r="U24" s="8"/>
      <c r="V24" s="8"/>
    </row>
    <row r="25" spans="1:22" ht="13.9">
      <c r="A25" s="2" t="str">
        <f>IF($D25="","","LP"&amp;TEXT(ROWS($A$2:A25),"000"))</f>
        <v/>
      </c>
      <c r="B25" s="2" t="str">
        <f>IF($D25="","",IFERROR(INDEX('02_能力差距自评'!$Q:$Q,MATCH($D25,'02_能力差距自评'!$F:$F,0)),""))</f>
        <v/>
      </c>
      <c r="C25" s="2" t="str">
        <f>IF($D25="","",IFERROR(INDEX('02_能力差距自评'!$R:$R,MATCH($D25,'02_能力差距自评'!$F:$F,0)),""))</f>
        <v/>
      </c>
      <c r="D25" s="2" t="str">
        <f>IFERROR(INDEX('02_能力差距自评'!$F$2:$F$311,MATCH(ROWS($D$2:D25),'02_能力差距自评'!$W$2:$W$311,0)),"")</f>
        <v/>
      </c>
      <c r="E25" s="2" t="str">
        <f>IF($D25="","",INDEX('02_能力差距自评'!$G:$G,MATCH($D25,'02_能力差距自评'!$F:$F,0)))</f>
        <v/>
      </c>
      <c r="F25" s="2" t="str">
        <f>IF($D25="","",INDEX('02_能力差距自评'!$C:$C,MATCH($D25,'02_能力差距自评'!$F:$F,0)))</f>
        <v/>
      </c>
      <c r="G25" s="2" t="str">
        <f>IF($D25="","",INDEX('02_能力差距自评'!$E:$E,MATCH($D25,'02_能力差距自评'!$F:$F,0)))</f>
        <v/>
      </c>
      <c r="H25" s="2" t="str">
        <f>IF($D25="","",INDEX('02_能力差距自评'!$L:$L,MATCH($D25,'02_能力差距自评'!$F:$F,0)))</f>
        <v/>
      </c>
      <c r="I25" s="2" t="str">
        <f>IF($D25="","",INDEX('02_能力差距自评'!$M:$M,MATCH($D25,'02_能力差距自评'!$F:$F,0)))</f>
        <v/>
      </c>
      <c r="J25" s="2" t="str">
        <f>IF($D25="","",INDEX('02_能力差距自评'!$N:$N,MATCH($D25,'02_能力差距自评'!$F:$F,0)))</f>
        <v/>
      </c>
      <c r="K25" s="4" t="str">
        <f>IF($D25="","",INDEX('02_能力差距自评'!$O:$O,MATCH($D25,'02_能力差距自评'!$F:$F,0)))</f>
        <v/>
      </c>
      <c r="L25" s="4" t="str">
        <f>IF($D25="","",INDEX('02_能力差距自评'!$I:$I,MATCH($D25,'02_能力差距自评'!$F:$F,0)))</f>
        <v/>
      </c>
      <c r="M25" s="2" t="str">
        <f t="shared" si="0"/>
        <v/>
      </c>
      <c r="N25" s="2" t="str">
        <f>IF($D25="","",INDEX('02_能力差距自评'!$J:$J,MATCH($D25,'02_能力差距自评'!$F:$F,0)))</f>
        <v/>
      </c>
      <c r="O25" s="2" t="str">
        <f>IF($D25="","",INDEX('02_能力差距自评'!$K:$K,MATCH($D25,'02_能力差距自评'!$F:$F,0)))</f>
        <v/>
      </c>
      <c r="P25" s="2"/>
      <c r="Q25" s="2"/>
      <c r="R25" s="2"/>
      <c r="S25" s="8" t="str">
        <f t="shared" si="1"/>
        <v/>
      </c>
      <c r="T25" s="8"/>
      <c r="U25" s="8"/>
      <c r="V25" s="8"/>
    </row>
    <row r="26" spans="1:22" ht="13.9">
      <c r="A26" s="2" t="str">
        <f>IF($D26="","","LP"&amp;TEXT(ROWS($A$2:A26),"000"))</f>
        <v/>
      </c>
      <c r="B26" s="2" t="str">
        <f>IF($D26="","",IFERROR(INDEX('02_能力差距自评'!$Q:$Q,MATCH($D26,'02_能力差距自评'!$F:$F,0)),""))</f>
        <v/>
      </c>
      <c r="C26" s="2" t="str">
        <f>IF($D26="","",IFERROR(INDEX('02_能力差距自评'!$R:$R,MATCH($D26,'02_能力差距自评'!$F:$F,0)),""))</f>
        <v/>
      </c>
      <c r="D26" s="2" t="str">
        <f>IFERROR(INDEX('02_能力差距自评'!$F$2:$F$311,MATCH(ROWS($D$2:D26),'02_能力差距自评'!$W$2:$W$311,0)),"")</f>
        <v/>
      </c>
      <c r="E26" s="2" t="str">
        <f>IF($D26="","",INDEX('02_能力差距自评'!$G:$G,MATCH($D26,'02_能力差距自评'!$F:$F,0)))</f>
        <v/>
      </c>
      <c r="F26" s="2" t="str">
        <f>IF($D26="","",INDEX('02_能力差距自评'!$C:$C,MATCH($D26,'02_能力差距自评'!$F:$F,0)))</f>
        <v/>
      </c>
      <c r="G26" s="2" t="str">
        <f>IF($D26="","",INDEX('02_能力差距自评'!$E:$E,MATCH($D26,'02_能力差距自评'!$F:$F,0)))</f>
        <v/>
      </c>
      <c r="H26" s="2" t="str">
        <f>IF($D26="","",INDEX('02_能力差距自评'!$L:$L,MATCH($D26,'02_能力差距自评'!$F:$F,0)))</f>
        <v/>
      </c>
      <c r="I26" s="2" t="str">
        <f>IF($D26="","",INDEX('02_能力差距自评'!$M:$M,MATCH($D26,'02_能力差距自评'!$F:$F,0)))</f>
        <v/>
      </c>
      <c r="J26" s="2" t="str">
        <f>IF($D26="","",INDEX('02_能力差距自评'!$N:$N,MATCH($D26,'02_能力差距自评'!$F:$F,0)))</f>
        <v/>
      </c>
      <c r="K26" s="4" t="str">
        <f>IF($D26="","",INDEX('02_能力差距自评'!$O:$O,MATCH($D26,'02_能力差距自评'!$F:$F,0)))</f>
        <v/>
      </c>
      <c r="L26" s="4" t="str">
        <f>IF($D26="","",INDEX('02_能力差距自评'!$I:$I,MATCH($D26,'02_能力差距自评'!$F:$F,0)))</f>
        <v/>
      </c>
      <c r="M26" s="2" t="str">
        <f t="shared" si="0"/>
        <v/>
      </c>
      <c r="N26" s="2" t="str">
        <f>IF($D26="","",INDEX('02_能力差距自评'!$J:$J,MATCH($D26,'02_能力差距自评'!$F:$F,0)))</f>
        <v/>
      </c>
      <c r="O26" s="2" t="str">
        <f>IF($D26="","",INDEX('02_能力差距自评'!$K:$K,MATCH($D26,'02_能力差距自评'!$F:$F,0)))</f>
        <v/>
      </c>
      <c r="P26" s="2"/>
      <c r="Q26" s="2"/>
      <c r="R26" s="2"/>
      <c r="S26" s="8" t="str">
        <f t="shared" si="1"/>
        <v/>
      </c>
      <c r="T26" s="8"/>
      <c r="U26" s="8"/>
      <c r="V26" s="8"/>
    </row>
    <row r="27" spans="1:22" ht="13.9">
      <c r="A27" s="2" t="str">
        <f>IF($D27="","","LP"&amp;TEXT(ROWS($A$2:A27),"000"))</f>
        <v/>
      </c>
      <c r="B27" s="2" t="str">
        <f>IF($D27="","",IFERROR(INDEX('02_能力差距自评'!$Q:$Q,MATCH($D27,'02_能力差距自评'!$F:$F,0)),""))</f>
        <v/>
      </c>
      <c r="C27" s="2" t="str">
        <f>IF($D27="","",IFERROR(INDEX('02_能力差距自评'!$R:$R,MATCH($D27,'02_能力差距自评'!$F:$F,0)),""))</f>
        <v/>
      </c>
      <c r="D27" s="2" t="str">
        <f>IFERROR(INDEX('02_能力差距自评'!$F$2:$F$311,MATCH(ROWS($D$2:D27),'02_能力差距自评'!$W$2:$W$311,0)),"")</f>
        <v/>
      </c>
      <c r="E27" s="2" t="str">
        <f>IF($D27="","",INDEX('02_能力差距自评'!$G:$G,MATCH($D27,'02_能力差距自评'!$F:$F,0)))</f>
        <v/>
      </c>
      <c r="F27" s="2" t="str">
        <f>IF($D27="","",INDEX('02_能力差距自评'!$C:$C,MATCH($D27,'02_能力差距自评'!$F:$F,0)))</f>
        <v/>
      </c>
      <c r="G27" s="2" t="str">
        <f>IF($D27="","",INDEX('02_能力差距自评'!$E:$E,MATCH($D27,'02_能力差距自评'!$F:$F,0)))</f>
        <v/>
      </c>
      <c r="H27" s="2" t="str">
        <f>IF($D27="","",INDEX('02_能力差距自评'!$L:$L,MATCH($D27,'02_能力差距自评'!$F:$F,0)))</f>
        <v/>
      </c>
      <c r="I27" s="2" t="str">
        <f>IF($D27="","",INDEX('02_能力差距自评'!$M:$M,MATCH($D27,'02_能力差距自评'!$F:$F,0)))</f>
        <v/>
      </c>
      <c r="J27" s="2" t="str">
        <f>IF($D27="","",INDEX('02_能力差距自评'!$N:$N,MATCH($D27,'02_能力差距自评'!$F:$F,0)))</f>
        <v/>
      </c>
      <c r="K27" s="4" t="str">
        <f>IF($D27="","",INDEX('02_能力差距自评'!$O:$O,MATCH($D27,'02_能力差距自评'!$F:$F,0)))</f>
        <v/>
      </c>
      <c r="L27" s="4" t="str">
        <f>IF($D27="","",INDEX('02_能力差距自评'!$I:$I,MATCH($D27,'02_能力差距自评'!$F:$F,0)))</f>
        <v/>
      </c>
      <c r="M27" s="2" t="str">
        <f t="shared" si="0"/>
        <v/>
      </c>
      <c r="N27" s="2" t="str">
        <f>IF($D27="","",INDEX('02_能力差距自评'!$J:$J,MATCH($D27,'02_能力差距自评'!$F:$F,0)))</f>
        <v/>
      </c>
      <c r="O27" s="2" t="str">
        <f>IF($D27="","",INDEX('02_能力差距自评'!$K:$K,MATCH($D27,'02_能力差距自评'!$F:$F,0)))</f>
        <v/>
      </c>
      <c r="P27" s="2"/>
      <c r="Q27" s="2"/>
      <c r="R27" s="2"/>
      <c r="S27" s="8" t="str">
        <f t="shared" si="1"/>
        <v/>
      </c>
      <c r="T27" s="8"/>
      <c r="U27" s="8"/>
      <c r="V27" s="8"/>
    </row>
    <row r="28" spans="1:22" ht="13.9">
      <c r="A28" s="2" t="str">
        <f>IF($D28="","","LP"&amp;TEXT(ROWS($A$2:A28),"000"))</f>
        <v/>
      </c>
      <c r="B28" s="2" t="str">
        <f>IF($D28="","",IFERROR(INDEX('02_能力差距自评'!$Q:$Q,MATCH($D28,'02_能力差距自评'!$F:$F,0)),""))</f>
        <v/>
      </c>
      <c r="C28" s="2" t="str">
        <f>IF($D28="","",IFERROR(INDEX('02_能力差距自评'!$R:$R,MATCH($D28,'02_能力差距自评'!$F:$F,0)),""))</f>
        <v/>
      </c>
      <c r="D28" s="2" t="str">
        <f>IFERROR(INDEX('02_能力差距自评'!$F$2:$F$311,MATCH(ROWS($D$2:D28),'02_能力差距自评'!$W$2:$W$311,0)),"")</f>
        <v/>
      </c>
      <c r="E28" s="2" t="str">
        <f>IF($D28="","",INDEX('02_能力差距自评'!$G:$G,MATCH($D28,'02_能力差距自评'!$F:$F,0)))</f>
        <v/>
      </c>
      <c r="F28" s="2" t="str">
        <f>IF($D28="","",INDEX('02_能力差距自评'!$C:$C,MATCH($D28,'02_能力差距自评'!$F:$F,0)))</f>
        <v/>
      </c>
      <c r="G28" s="2" t="str">
        <f>IF($D28="","",INDEX('02_能力差距自评'!$E:$E,MATCH($D28,'02_能力差距自评'!$F:$F,0)))</f>
        <v/>
      </c>
      <c r="H28" s="2" t="str">
        <f>IF($D28="","",INDEX('02_能力差距自评'!$L:$L,MATCH($D28,'02_能力差距自评'!$F:$F,0)))</f>
        <v/>
      </c>
      <c r="I28" s="2" t="str">
        <f>IF($D28="","",INDEX('02_能力差距自评'!$M:$M,MATCH($D28,'02_能力差距自评'!$F:$F,0)))</f>
        <v/>
      </c>
      <c r="J28" s="2" t="str">
        <f>IF($D28="","",INDEX('02_能力差距自评'!$N:$N,MATCH($D28,'02_能力差距自评'!$F:$F,0)))</f>
        <v/>
      </c>
      <c r="K28" s="4" t="str">
        <f>IF($D28="","",INDEX('02_能力差距自评'!$O:$O,MATCH($D28,'02_能力差距自评'!$F:$F,0)))</f>
        <v/>
      </c>
      <c r="L28" s="4" t="str">
        <f>IF($D28="","",INDEX('02_能力差距自评'!$I:$I,MATCH($D28,'02_能力差距自评'!$F:$F,0)))</f>
        <v/>
      </c>
      <c r="M28" s="2" t="str">
        <f t="shared" si="0"/>
        <v/>
      </c>
      <c r="N28" s="2" t="str">
        <f>IF($D28="","",INDEX('02_能力差距自评'!$J:$J,MATCH($D28,'02_能力差距自评'!$F:$F,0)))</f>
        <v/>
      </c>
      <c r="O28" s="2" t="str">
        <f>IF($D28="","",INDEX('02_能力差距自评'!$K:$K,MATCH($D28,'02_能力差距自评'!$F:$F,0)))</f>
        <v/>
      </c>
      <c r="P28" s="2"/>
      <c r="Q28" s="2"/>
      <c r="R28" s="2"/>
      <c r="S28" s="8" t="str">
        <f t="shared" si="1"/>
        <v/>
      </c>
      <c r="T28" s="8"/>
      <c r="U28" s="8"/>
      <c r="V28" s="8"/>
    </row>
    <row r="29" spans="1:22" ht="13.9">
      <c r="A29" s="2" t="str">
        <f>IF($D29="","","LP"&amp;TEXT(ROWS($A$2:A29),"000"))</f>
        <v/>
      </c>
      <c r="B29" s="2" t="str">
        <f>IF($D29="","",IFERROR(INDEX('02_能力差距自评'!$Q:$Q,MATCH($D29,'02_能力差距自评'!$F:$F,0)),""))</f>
        <v/>
      </c>
      <c r="C29" s="2" t="str">
        <f>IF($D29="","",IFERROR(INDEX('02_能力差距自评'!$R:$R,MATCH($D29,'02_能力差距自评'!$F:$F,0)),""))</f>
        <v/>
      </c>
      <c r="D29" s="2" t="str">
        <f>IFERROR(INDEX('02_能力差距自评'!$F$2:$F$311,MATCH(ROWS($D$2:D29),'02_能力差距自评'!$W$2:$W$311,0)),"")</f>
        <v/>
      </c>
      <c r="E29" s="2" t="str">
        <f>IF($D29="","",INDEX('02_能力差距自评'!$G:$G,MATCH($D29,'02_能力差距自评'!$F:$F,0)))</f>
        <v/>
      </c>
      <c r="F29" s="2" t="str">
        <f>IF($D29="","",INDEX('02_能力差距自评'!$C:$C,MATCH($D29,'02_能力差距自评'!$F:$F,0)))</f>
        <v/>
      </c>
      <c r="G29" s="2" t="str">
        <f>IF($D29="","",INDEX('02_能力差距自评'!$E:$E,MATCH($D29,'02_能力差距自评'!$F:$F,0)))</f>
        <v/>
      </c>
      <c r="H29" s="2" t="str">
        <f>IF($D29="","",INDEX('02_能力差距自评'!$L:$L,MATCH($D29,'02_能力差距自评'!$F:$F,0)))</f>
        <v/>
      </c>
      <c r="I29" s="2" t="str">
        <f>IF($D29="","",INDEX('02_能力差距自评'!$M:$M,MATCH($D29,'02_能力差距自评'!$F:$F,0)))</f>
        <v/>
      </c>
      <c r="J29" s="2" t="str">
        <f>IF($D29="","",INDEX('02_能力差距自评'!$N:$N,MATCH($D29,'02_能力差距自评'!$F:$F,0)))</f>
        <v/>
      </c>
      <c r="K29" s="4" t="str">
        <f>IF($D29="","",INDEX('02_能力差距自评'!$O:$O,MATCH($D29,'02_能力差距自评'!$F:$F,0)))</f>
        <v/>
      </c>
      <c r="L29" s="4" t="str">
        <f>IF($D29="","",INDEX('02_能力差距自评'!$I:$I,MATCH($D29,'02_能力差距自评'!$F:$F,0)))</f>
        <v/>
      </c>
      <c r="M29" s="2" t="str">
        <f t="shared" si="0"/>
        <v/>
      </c>
      <c r="N29" s="2" t="str">
        <f>IF($D29="","",INDEX('02_能力差距自评'!$J:$J,MATCH($D29,'02_能力差距自评'!$F:$F,0)))</f>
        <v/>
      </c>
      <c r="O29" s="2" t="str">
        <f>IF($D29="","",INDEX('02_能力差距自评'!$K:$K,MATCH($D29,'02_能力差距自评'!$F:$F,0)))</f>
        <v/>
      </c>
      <c r="P29" s="2"/>
      <c r="Q29" s="2"/>
      <c r="R29" s="2"/>
      <c r="S29" s="8" t="str">
        <f t="shared" si="1"/>
        <v/>
      </c>
      <c r="T29" s="8"/>
      <c r="U29" s="8"/>
      <c r="V29" s="8"/>
    </row>
    <row r="30" spans="1:22" ht="13.9">
      <c r="A30" s="2" t="str">
        <f>IF($D30="","","LP"&amp;TEXT(ROWS($A$2:A30),"000"))</f>
        <v/>
      </c>
      <c r="B30" s="2" t="str">
        <f>IF($D30="","",IFERROR(INDEX('02_能力差距自评'!$Q:$Q,MATCH($D30,'02_能力差距自评'!$F:$F,0)),""))</f>
        <v/>
      </c>
      <c r="C30" s="2" t="str">
        <f>IF($D30="","",IFERROR(INDEX('02_能力差距自评'!$R:$R,MATCH($D30,'02_能力差距自评'!$F:$F,0)),""))</f>
        <v/>
      </c>
      <c r="D30" s="2" t="str">
        <f>IFERROR(INDEX('02_能力差距自评'!$F$2:$F$311,MATCH(ROWS($D$2:D30),'02_能力差距自评'!$W$2:$W$311,0)),"")</f>
        <v/>
      </c>
      <c r="E30" s="2" t="str">
        <f>IF($D30="","",INDEX('02_能力差距自评'!$G:$G,MATCH($D30,'02_能力差距自评'!$F:$F,0)))</f>
        <v/>
      </c>
      <c r="F30" s="2" t="str">
        <f>IF($D30="","",INDEX('02_能力差距自评'!$C:$C,MATCH($D30,'02_能力差距自评'!$F:$F,0)))</f>
        <v/>
      </c>
      <c r="G30" s="2" t="str">
        <f>IF($D30="","",INDEX('02_能力差距自评'!$E:$E,MATCH($D30,'02_能力差距自评'!$F:$F,0)))</f>
        <v/>
      </c>
      <c r="H30" s="2" t="str">
        <f>IF($D30="","",INDEX('02_能力差距自评'!$L:$L,MATCH($D30,'02_能力差距自评'!$F:$F,0)))</f>
        <v/>
      </c>
      <c r="I30" s="2" t="str">
        <f>IF($D30="","",INDEX('02_能力差距自评'!$M:$M,MATCH($D30,'02_能力差距自评'!$F:$F,0)))</f>
        <v/>
      </c>
      <c r="J30" s="2" t="str">
        <f>IF($D30="","",INDEX('02_能力差距自评'!$N:$N,MATCH($D30,'02_能力差距自评'!$F:$F,0)))</f>
        <v/>
      </c>
      <c r="K30" s="4" t="str">
        <f>IF($D30="","",INDEX('02_能力差距自评'!$O:$O,MATCH($D30,'02_能力差距自评'!$F:$F,0)))</f>
        <v/>
      </c>
      <c r="L30" s="4" t="str">
        <f>IF($D30="","",INDEX('02_能力差距自评'!$I:$I,MATCH($D30,'02_能力差距自评'!$F:$F,0)))</f>
        <v/>
      </c>
      <c r="M30" s="2" t="str">
        <f t="shared" si="0"/>
        <v/>
      </c>
      <c r="N30" s="2" t="str">
        <f>IF($D30="","",INDEX('02_能力差距自评'!$J:$J,MATCH($D30,'02_能力差距自评'!$F:$F,0)))</f>
        <v/>
      </c>
      <c r="O30" s="2" t="str">
        <f>IF($D30="","",INDEX('02_能力差距自评'!$K:$K,MATCH($D30,'02_能力差距自评'!$F:$F,0)))</f>
        <v/>
      </c>
      <c r="P30" s="2"/>
      <c r="Q30" s="2"/>
      <c r="R30" s="2"/>
      <c r="S30" s="8" t="str">
        <f t="shared" si="1"/>
        <v/>
      </c>
      <c r="T30" s="8"/>
      <c r="U30" s="8"/>
      <c r="V30" s="8"/>
    </row>
    <row r="31" spans="1:22" ht="13.9">
      <c r="A31" s="2" t="str">
        <f>IF($D31="","","LP"&amp;TEXT(ROWS($A$2:A31),"000"))</f>
        <v/>
      </c>
      <c r="B31" s="2" t="str">
        <f>IF($D31="","",IFERROR(INDEX('02_能力差距自评'!$Q:$Q,MATCH($D31,'02_能力差距自评'!$F:$F,0)),""))</f>
        <v/>
      </c>
      <c r="C31" s="2" t="str">
        <f>IF($D31="","",IFERROR(INDEX('02_能力差距自评'!$R:$R,MATCH($D31,'02_能力差距自评'!$F:$F,0)),""))</f>
        <v/>
      </c>
      <c r="D31" s="2" t="str">
        <f>IFERROR(INDEX('02_能力差距自评'!$F$2:$F$311,MATCH(ROWS($D$2:D31),'02_能力差距自评'!$W$2:$W$311,0)),"")</f>
        <v/>
      </c>
      <c r="E31" s="2" t="str">
        <f>IF($D31="","",INDEX('02_能力差距自评'!$G:$G,MATCH($D31,'02_能力差距自评'!$F:$F,0)))</f>
        <v/>
      </c>
      <c r="F31" s="2" t="str">
        <f>IF($D31="","",INDEX('02_能力差距自评'!$C:$C,MATCH($D31,'02_能力差距自评'!$F:$F,0)))</f>
        <v/>
      </c>
      <c r="G31" s="2" t="str">
        <f>IF($D31="","",INDEX('02_能力差距自评'!$E:$E,MATCH($D31,'02_能力差距自评'!$F:$F,0)))</f>
        <v/>
      </c>
      <c r="H31" s="2" t="str">
        <f>IF($D31="","",INDEX('02_能力差距自评'!$L:$L,MATCH($D31,'02_能力差距自评'!$F:$F,0)))</f>
        <v/>
      </c>
      <c r="I31" s="2" t="str">
        <f>IF($D31="","",INDEX('02_能力差距自评'!$M:$M,MATCH($D31,'02_能力差距自评'!$F:$F,0)))</f>
        <v/>
      </c>
      <c r="J31" s="2" t="str">
        <f>IF($D31="","",INDEX('02_能力差距自评'!$N:$N,MATCH($D31,'02_能力差距自评'!$F:$F,0)))</f>
        <v/>
      </c>
      <c r="K31" s="4" t="str">
        <f>IF($D31="","",INDEX('02_能力差距自评'!$O:$O,MATCH($D31,'02_能力差距自评'!$F:$F,0)))</f>
        <v/>
      </c>
      <c r="L31" s="4" t="str">
        <f>IF($D31="","",INDEX('02_能力差距自评'!$I:$I,MATCH($D31,'02_能力差距自评'!$F:$F,0)))</f>
        <v/>
      </c>
      <c r="M31" s="2" t="str">
        <f t="shared" si="0"/>
        <v/>
      </c>
      <c r="N31" s="2" t="str">
        <f>IF($D31="","",INDEX('02_能力差距自评'!$J:$J,MATCH($D31,'02_能力差距自评'!$F:$F,0)))</f>
        <v/>
      </c>
      <c r="O31" s="2" t="str">
        <f>IF($D31="","",INDEX('02_能力差距自评'!$K:$K,MATCH($D31,'02_能力差距自评'!$F:$F,0)))</f>
        <v/>
      </c>
      <c r="P31" s="2"/>
      <c r="Q31" s="2"/>
      <c r="R31" s="2"/>
      <c r="S31" s="8" t="str">
        <f t="shared" si="1"/>
        <v/>
      </c>
      <c r="T31" s="8"/>
      <c r="U31" s="8"/>
      <c r="V31" s="8"/>
    </row>
    <row r="32" spans="1:22" ht="13.9">
      <c r="A32" s="2" t="str">
        <f>IF($D32="","","LP"&amp;TEXT(ROWS($A$2:A32),"000"))</f>
        <v/>
      </c>
      <c r="B32" s="2" t="str">
        <f>IF($D32="","",IFERROR(INDEX('02_能力差距自评'!$Q:$Q,MATCH($D32,'02_能力差距自评'!$F:$F,0)),""))</f>
        <v/>
      </c>
      <c r="C32" s="2" t="str">
        <f>IF($D32="","",IFERROR(INDEX('02_能力差距自评'!$R:$R,MATCH($D32,'02_能力差距自评'!$F:$F,0)),""))</f>
        <v/>
      </c>
      <c r="D32" s="2" t="str">
        <f>IFERROR(INDEX('02_能力差距自评'!$F$2:$F$311,MATCH(ROWS($D$2:D32),'02_能力差距自评'!$W$2:$W$311,0)),"")</f>
        <v/>
      </c>
      <c r="E32" s="2" t="str">
        <f>IF($D32="","",INDEX('02_能力差距自评'!$G:$G,MATCH($D32,'02_能力差距自评'!$F:$F,0)))</f>
        <v/>
      </c>
      <c r="F32" s="2" t="str">
        <f>IF($D32="","",INDEX('02_能力差距自评'!$C:$C,MATCH($D32,'02_能力差距自评'!$F:$F,0)))</f>
        <v/>
      </c>
      <c r="G32" s="2" t="str">
        <f>IF($D32="","",INDEX('02_能力差距自评'!$E:$E,MATCH($D32,'02_能力差距自评'!$F:$F,0)))</f>
        <v/>
      </c>
      <c r="H32" s="2" t="str">
        <f>IF($D32="","",INDEX('02_能力差距自评'!$L:$L,MATCH($D32,'02_能力差距自评'!$F:$F,0)))</f>
        <v/>
      </c>
      <c r="I32" s="2" t="str">
        <f>IF($D32="","",INDEX('02_能力差距自评'!$M:$M,MATCH($D32,'02_能力差距自评'!$F:$F,0)))</f>
        <v/>
      </c>
      <c r="J32" s="2" t="str">
        <f>IF($D32="","",INDEX('02_能力差距自评'!$N:$N,MATCH($D32,'02_能力差距自评'!$F:$F,0)))</f>
        <v/>
      </c>
      <c r="K32" s="4" t="str">
        <f>IF($D32="","",INDEX('02_能力差距自评'!$O:$O,MATCH($D32,'02_能力差距自评'!$F:$F,0)))</f>
        <v/>
      </c>
      <c r="L32" s="4" t="str">
        <f>IF($D32="","",INDEX('02_能力差距自评'!$I:$I,MATCH($D32,'02_能力差距自评'!$F:$F,0)))</f>
        <v/>
      </c>
      <c r="M32" s="2" t="str">
        <f t="shared" si="0"/>
        <v/>
      </c>
      <c r="N32" s="2" t="str">
        <f>IF($D32="","",INDEX('02_能力差距自评'!$J:$J,MATCH($D32,'02_能力差距自评'!$F:$F,0)))</f>
        <v/>
      </c>
      <c r="O32" s="2" t="str">
        <f>IF($D32="","",INDEX('02_能力差距自评'!$K:$K,MATCH($D32,'02_能力差距自评'!$F:$F,0)))</f>
        <v/>
      </c>
      <c r="P32" s="2"/>
      <c r="Q32" s="2"/>
      <c r="R32" s="2"/>
      <c r="S32" s="8" t="str">
        <f t="shared" si="1"/>
        <v/>
      </c>
      <c r="T32" s="8"/>
      <c r="U32" s="8"/>
      <c r="V32" s="8"/>
    </row>
    <row r="33" spans="1:22" ht="13.9">
      <c r="A33" s="2" t="str">
        <f>IF($D33="","","LP"&amp;TEXT(ROWS($A$2:A33),"000"))</f>
        <v/>
      </c>
      <c r="B33" s="2" t="str">
        <f>IF($D33="","",IFERROR(INDEX('02_能力差距自评'!$Q:$Q,MATCH($D33,'02_能力差距自评'!$F:$F,0)),""))</f>
        <v/>
      </c>
      <c r="C33" s="2" t="str">
        <f>IF($D33="","",IFERROR(INDEX('02_能力差距自评'!$R:$R,MATCH($D33,'02_能力差距自评'!$F:$F,0)),""))</f>
        <v/>
      </c>
      <c r="D33" s="2" t="str">
        <f>IFERROR(INDEX('02_能力差距自评'!$F$2:$F$311,MATCH(ROWS($D$2:D33),'02_能力差距自评'!$W$2:$W$311,0)),"")</f>
        <v/>
      </c>
      <c r="E33" s="2" t="str">
        <f>IF($D33="","",INDEX('02_能力差距自评'!$G:$G,MATCH($D33,'02_能力差距自评'!$F:$F,0)))</f>
        <v/>
      </c>
      <c r="F33" s="2" t="str">
        <f>IF($D33="","",INDEX('02_能力差距自评'!$C:$C,MATCH($D33,'02_能力差距自评'!$F:$F,0)))</f>
        <v/>
      </c>
      <c r="G33" s="2" t="str">
        <f>IF($D33="","",INDEX('02_能力差距自评'!$E:$E,MATCH($D33,'02_能力差距自评'!$F:$F,0)))</f>
        <v/>
      </c>
      <c r="H33" s="2" t="str">
        <f>IF($D33="","",INDEX('02_能力差距自评'!$L:$L,MATCH($D33,'02_能力差距自评'!$F:$F,0)))</f>
        <v/>
      </c>
      <c r="I33" s="2" t="str">
        <f>IF($D33="","",INDEX('02_能力差距自评'!$M:$M,MATCH($D33,'02_能力差距自评'!$F:$F,0)))</f>
        <v/>
      </c>
      <c r="J33" s="2" t="str">
        <f>IF($D33="","",INDEX('02_能力差距自评'!$N:$N,MATCH($D33,'02_能力差距自评'!$F:$F,0)))</f>
        <v/>
      </c>
      <c r="K33" s="4" t="str">
        <f>IF($D33="","",INDEX('02_能力差距自评'!$O:$O,MATCH($D33,'02_能力差距自评'!$F:$F,0)))</f>
        <v/>
      </c>
      <c r="L33" s="4" t="str">
        <f>IF($D33="","",INDEX('02_能力差距自评'!$I:$I,MATCH($D33,'02_能力差距自评'!$F:$F,0)))</f>
        <v/>
      </c>
      <c r="M33" s="2" t="str">
        <f t="shared" si="0"/>
        <v/>
      </c>
      <c r="N33" s="2" t="str">
        <f>IF($D33="","",INDEX('02_能力差距自评'!$J:$J,MATCH($D33,'02_能力差距自评'!$F:$F,0)))</f>
        <v/>
      </c>
      <c r="O33" s="2" t="str">
        <f>IF($D33="","",INDEX('02_能力差距自评'!$K:$K,MATCH($D33,'02_能力差距自评'!$F:$F,0)))</f>
        <v/>
      </c>
      <c r="P33" s="2"/>
      <c r="Q33" s="2"/>
      <c r="R33" s="2"/>
      <c r="S33" s="8" t="str">
        <f t="shared" si="1"/>
        <v/>
      </c>
      <c r="T33" s="8"/>
      <c r="U33" s="8"/>
      <c r="V33" s="8"/>
    </row>
    <row r="34" spans="1:22" ht="13.9">
      <c r="A34" s="2" t="str">
        <f>IF($D34="","","LP"&amp;TEXT(ROWS($A$2:A34),"000"))</f>
        <v/>
      </c>
      <c r="B34" s="2" t="str">
        <f>IF($D34="","",IFERROR(INDEX('02_能力差距自评'!$Q:$Q,MATCH($D34,'02_能力差距自评'!$F:$F,0)),""))</f>
        <v/>
      </c>
      <c r="C34" s="2" t="str">
        <f>IF($D34="","",IFERROR(INDEX('02_能力差距自评'!$R:$R,MATCH($D34,'02_能力差距自评'!$F:$F,0)),""))</f>
        <v/>
      </c>
      <c r="D34" s="2" t="str">
        <f>IFERROR(INDEX('02_能力差距自评'!$F$2:$F$311,MATCH(ROWS($D$2:D34),'02_能力差距自评'!$W$2:$W$311,0)),"")</f>
        <v/>
      </c>
      <c r="E34" s="2" t="str">
        <f>IF($D34="","",INDEX('02_能力差距自评'!$G:$G,MATCH($D34,'02_能力差距自评'!$F:$F,0)))</f>
        <v/>
      </c>
      <c r="F34" s="2" t="str">
        <f>IF($D34="","",INDEX('02_能力差距自评'!$C:$C,MATCH($D34,'02_能力差距自评'!$F:$F,0)))</f>
        <v/>
      </c>
      <c r="G34" s="2" t="str">
        <f>IF($D34="","",INDEX('02_能力差距自评'!$E:$E,MATCH($D34,'02_能力差距自评'!$F:$F,0)))</f>
        <v/>
      </c>
      <c r="H34" s="2" t="str">
        <f>IF($D34="","",INDEX('02_能力差距自评'!$L:$L,MATCH($D34,'02_能力差距自评'!$F:$F,0)))</f>
        <v/>
      </c>
      <c r="I34" s="2" t="str">
        <f>IF($D34="","",INDEX('02_能力差距自评'!$M:$M,MATCH($D34,'02_能力差距自评'!$F:$F,0)))</f>
        <v/>
      </c>
      <c r="J34" s="2" t="str">
        <f>IF($D34="","",INDEX('02_能力差距自评'!$N:$N,MATCH($D34,'02_能力差距自评'!$F:$F,0)))</f>
        <v/>
      </c>
      <c r="K34" s="4" t="str">
        <f>IF($D34="","",INDEX('02_能力差距自评'!$O:$O,MATCH($D34,'02_能力差距自评'!$F:$F,0)))</f>
        <v/>
      </c>
      <c r="L34" s="4" t="str">
        <f>IF($D34="","",INDEX('02_能力差距自评'!$I:$I,MATCH($D34,'02_能力差距自评'!$F:$F,0)))</f>
        <v/>
      </c>
      <c r="M34" s="2" t="str">
        <f t="shared" si="0"/>
        <v/>
      </c>
      <c r="N34" s="2" t="str">
        <f>IF($D34="","",INDEX('02_能力差距自评'!$J:$J,MATCH($D34,'02_能力差距自评'!$F:$F,0)))</f>
        <v/>
      </c>
      <c r="O34" s="2" t="str">
        <f>IF($D34="","",INDEX('02_能力差距自评'!$K:$K,MATCH($D34,'02_能力差距自评'!$F:$F,0)))</f>
        <v/>
      </c>
      <c r="P34" s="2"/>
      <c r="Q34" s="2"/>
      <c r="R34" s="2"/>
      <c r="S34" s="8" t="str">
        <f t="shared" si="1"/>
        <v/>
      </c>
      <c r="T34" s="8"/>
      <c r="U34" s="8"/>
      <c r="V34" s="8"/>
    </row>
    <row r="35" spans="1:22" ht="13.9">
      <c r="A35" s="2" t="str">
        <f>IF($D35="","","LP"&amp;TEXT(ROWS($A$2:A35),"000"))</f>
        <v/>
      </c>
      <c r="B35" s="2" t="str">
        <f>IF($D35="","",IFERROR(INDEX('02_能力差距自评'!$Q:$Q,MATCH($D35,'02_能力差距自评'!$F:$F,0)),""))</f>
        <v/>
      </c>
      <c r="C35" s="2" t="str">
        <f>IF($D35="","",IFERROR(INDEX('02_能力差距自评'!$R:$R,MATCH($D35,'02_能力差距自评'!$F:$F,0)),""))</f>
        <v/>
      </c>
      <c r="D35" s="2" t="str">
        <f>IFERROR(INDEX('02_能力差距自评'!$F$2:$F$311,MATCH(ROWS($D$2:D35),'02_能力差距自评'!$W$2:$W$311,0)),"")</f>
        <v/>
      </c>
      <c r="E35" s="2" t="str">
        <f>IF($D35="","",INDEX('02_能力差距自评'!$G:$G,MATCH($D35,'02_能力差距自评'!$F:$F,0)))</f>
        <v/>
      </c>
      <c r="F35" s="2" t="str">
        <f>IF($D35="","",INDEX('02_能力差距自评'!$C:$C,MATCH($D35,'02_能力差距自评'!$F:$F,0)))</f>
        <v/>
      </c>
      <c r="G35" s="2" t="str">
        <f>IF($D35="","",INDEX('02_能力差距自评'!$E:$E,MATCH($D35,'02_能力差距自评'!$F:$F,0)))</f>
        <v/>
      </c>
      <c r="H35" s="2" t="str">
        <f>IF($D35="","",INDEX('02_能力差距自评'!$L:$L,MATCH($D35,'02_能力差距自评'!$F:$F,0)))</f>
        <v/>
      </c>
      <c r="I35" s="2" t="str">
        <f>IF($D35="","",INDEX('02_能力差距自评'!$M:$M,MATCH($D35,'02_能力差距自评'!$F:$F,0)))</f>
        <v/>
      </c>
      <c r="J35" s="2" t="str">
        <f>IF($D35="","",INDEX('02_能力差距自评'!$N:$N,MATCH($D35,'02_能力差距自评'!$F:$F,0)))</f>
        <v/>
      </c>
      <c r="K35" s="4" t="str">
        <f>IF($D35="","",INDEX('02_能力差距自评'!$O:$O,MATCH($D35,'02_能力差距自评'!$F:$F,0)))</f>
        <v/>
      </c>
      <c r="L35" s="4" t="str">
        <f>IF($D35="","",INDEX('02_能力差距自评'!$I:$I,MATCH($D35,'02_能力差距自评'!$F:$F,0)))</f>
        <v/>
      </c>
      <c r="M35" s="2" t="str">
        <f t="shared" si="0"/>
        <v/>
      </c>
      <c r="N35" s="2" t="str">
        <f>IF($D35="","",INDEX('02_能力差距自评'!$J:$J,MATCH($D35,'02_能力差距自评'!$F:$F,0)))</f>
        <v/>
      </c>
      <c r="O35" s="2" t="str">
        <f>IF($D35="","",INDEX('02_能力差距自评'!$K:$K,MATCH($D35,'02_能力差距自评'!$F:$F,0)))</f>
        <v/>
      </c>
      <c r="P35" s="2"/>
      <c r="Q35" s="2"/>
      <c r="R35" s="2"/>
      <c r="S35" s="8" t="str">
        <f t="shared" si="1"/>
        <v/>
      </c>
      <c r="T35" s="8"/>
      <c r="U35" s="8"/>
      <c r="V35" s="8"/>
    </row>
    <row r="36" spans="1:22" ht="13.9">
      <c r="A36" s="2" t="str">
        <f>IF($D36="","","LP"&amp;TEXT(ROWS($A$2:A36),"000"))</f>
        <v/>
      </c>
      <c r="B36" s="2" t="str">
        <f>IF($D36="","",IFERROR(INDEX('02_能力差距自评'!$Q:$Q,MATCH($D36,'02_能力差距自评'!$F:$F,0)),""))</f>
        <v/>
      </c>
      <c r="C36" s="2" t="str">
        <f>IF($D36="","",IFERROR(INDEX('02_能力差距自评'!$R:$R,MATCH($D36,'02_能力差距自评'!$F:$F,0)),""))</f>
        <v/>
      </c>
      <c r="D36" s="2" t="str">
        <f>IFERROR(INDEX('02_能力差距自评'!$F$2:$F$311,MATCH(ROWS($D$2:D36),'02_能力差距自评'!$W$2:$W$311,0)),"")</f>
        <v/>
      </c>
      <c r="E36" s="2" t="str">
        <f>IF($D36="","",INDEX('02_能力差距自评'!$G:$G,MATCH($D36,'02_能力差距自评'!$F:$F,0)))</f>
        <v/>
      </c>
      <c r="F36" s="2" t="str">
        <f>IF($D36="","",INDEX('02_能力差距自评'!$C:$C,MATCH($D36,'02_能力差距自评'!$F:$F,0)))</f>
        <v/>
      </c>
      <c r="G36" s="2" t="str">
        <f>IF($D36="","",INDEX('02_能力差距自评'!$E:$E,MATCH($D36,'02_能力差距自评'!$F:$F,0)))</f>
        <v/>
      </c>
      <c r="H36" s="2" t="str">
        <f>IF($D36="","",INDEX('02_能力差距自评'!$L:$L,MATCH($D36,'02_能力差距自评'!$F:$F,0)))</f>
        <v/>
      </c>
      <c r="I36" s="2" t="str">
        <f>IF($D36="","",INDEX('02_能力差距自评'!$M:$M,MATCH($D36,'02_能力差距自评'!$F:$F,0)))</f>
        <v/>
      </c>
      <c r="J36" s="2" t="str">
        <f>IF($D36="","",INDEX('02_能力差距自评'!$N:$N,MATCH($D36,'02_能力差距自评'!$F:$F,0)))</f>
        <v/>
      </c>
      <c r="K36" s="4" t="str">
        <f>IF($D36="","",INDEX('02_能力差距自评'!$O:$O,MATCH($D36,'02_能力差距自评'!$F:$F,0)))</f>
        <v/>
      </c>
      <c r="L36" s="4" t="str">
        <f>IF($D36="","",INDEX('02_能力差距自评'!$I:$I,MATCH($D36,'02_能力差距自评'!$F:$F,0)))</f>
        <v/>
      </c>
      <c r="M36" s="2" t="str">
        <f t="shared" si="0"/>
        <v/>
      </c>
      <c r="N36" s="2" t="str">
        <f>IF($D36="","",INDEX('02_能力差距自评'!$J:$J,MATCH($D36,'02_能力差距自评'!$F:$F,0)))</f>
        <v/>
      </c>
      <c r="O36" s="2" t="str">
        <f>IF($D36="","",INDEX('02_能力差距自评'!$K:$K,MATCH($D36,'02_能力差距自评'!$F:$F,0)))</f>
        <v/>
      </c>
      <c r="P36" s="2"/>
      <c r="Q36" s="2"/>
      <c r="R36" s="2"/>
      <c r="S36" s="8" t="str">
        <f t="shared" si="1"/>
        <v/>
      </c>
      <c r="T36" s="8"/>
      <c r="U36" s="8"/>
      <c r="V36" s="8"/>
    </row>
    <row r="37" spans="1:22" ht="13.9">
      <c r="A37" s="2" t="str">
        <f>IF($D37="","","LP"&amp;TEXT(ROWS($A$2:A37),"000"))</f>
        <v/>
      </c>
      <c r="B37" s="2" t="str">
        <f>IF($D37="","",IFERROR(INDEX('02_能力差距自评'!$Q:$Q,MATCH($D37,'02_能力差距自评'!$F:$F,0)),""))</f>
        <v/>
      </c>
      <c r="C37" s="2" t="str">
        <f>IF($D37="","",IFERROR(INDEX('02_能力差距自评'!$R:$R,MATCH($D37,'02_能力差距自评'!$F:$F,0)),""))</f>
        <v/>
      </c>
      <c r="D37" s="2" t="str">
        <f>IFERROR(INDEX('02_能力差距自评'!$F$2:$F$311,MATCH(ROWS($D$2:D37),'02_能力差距自评'!$W$2:$W$311,0)),"")</f>
        <v/>
      </c>
      <c r="E37" s="2" t="str">
        <f>IF($D37="","",INDEX('02_能力差距自评'!$G:$G,MATCH($D37,'02_能力差距自评'!$F:$F,0)))</f>
        <v/>
      </c>
      <c r="F37" s="2" t="str">
        <f>IF($D37="","",INDEX('02_能力差距自评'!$C:$C,MATCH($D37,'02_能力差距自评'!$F:$F,0)))</f>
        <v/>
      </c>
      <c r="G37" s="2" t="str">
        <f>IF($D37="","",INDEX('02_能力差距自评'!$E:$E,MATCH($D37,'02_能力差距自评'!$F:$F,0)))</f>
        <v/>
      </c>
      <c r="H37" s="2" t="str">
        <f>IF($D37="","",INDEX('02_能力差距自评'!$L:$L,MATCH($D37,'02_能力差距自评'!$F:$F,0)))</f>
        <v/>
      </c>
      <c r="I37" s="2" t="str">
        <f>IF($D37="","",INDEX('02_能力差距自评'!$M:$M,MATCH($D37,'02_能力差距自评'!$F:$F,0)))</f>
        <v/>
      </c>
      <c r="J37" s="2" t="str">
        <f>IF($D37="","",INDEX('02_能力差距自评'!$N:$N,MATCH($D37,'02_能力差距自评'!$F:$F,0)))</f>
        <v/>
      </c>
      <c r="K37" s="4" t="str">
        <f>IF($D37="","",INDEX('02_能力差距自评'!$O:$O,MATCH($D37,'02_能力差距自评'!$F:$F,0)))</f>
        <v/>
      </c>
      <c r="L37" s="4" t="str">
        <f>IF($D37="","",INDEX('02_能力差距自评'!$I:$I,MATCH($D37,'02_能力差距自评'!$F:$F,0)))</f>
        <v/>
      </c>
      <c r="M37" s="2" t="str">
        <f t="shared" si="0"/>
        <v/>
      </c>
      <c r="N37" s="2" t="str">
        <f>IF($D37="","",INDEX('02_能力差距自评'!$J:$J,MATCH($D37,'02_能力差距自评'!$F:$F,0)))</f>
        <v/>
      </c>
      <c r="O37" s="2" t="str">
        <f>IF($D37="","",INDEX('02_能力差距自评'!$K:$K,MATCH($D37,'02_能力差距自评'!$F:$F,0)))</f>
        <v/>
      </c>
      <c r="P37" s="2"/>
      <c r="Q37" s="2"/>
      <c r="R37" s="2"/>
      <c r="S37" s="8" t="str">
        <f t="shared" si="1"/>
        <v/>
      </c>
      <c r="T37" s="8"/>
      <c r="U37" s="8"/>
      <c r="V37" s="8"/>
    </row>
    <row r="38" spans="1:22" ht="13.9">
      <c r="A38" s="2" t="str">
        <f>IF($D38="","","LP"&amp;TEXT(ROWS($A$2:A38),"000"))</f>
        <v/>
      </c>
      <c r="B38" s="2" t="str">
        <f>IF($D38="","",IFERROR(INDEX('02_能力差距自评'!$Q:$Q,MATCH($D38,'02_能力差距自评'!$F:$F,0)),""))</f>
        <v/>
      </c>
      <c r="C38" s="2" t="str">
        <f>IF($D38="","",IFERROR(INDEX('02_能力差距自评'!$R:$R,MATCH($D38,'02_能力差距自评'!$F:$F,0)),""))</f>
        <v/>
      </c>
      <c r="D38" s="2" t="str">
        <f>IFERROR(INDEX('02_能力差距自评'!$F$2:$F$311,MATCH(ROWS($D$2:D38),'02_能力差距自评'!$W$2:$W$311,0)),"")</f>
        <v/>
      </c>
      <c r="E38" s="2" t="str">
        <f>IF($D38="","",INDEX('02_能力差距自评'!$G:$G,MATCH($D38,'02_能力差距自评'!$F:$F,0)))</f>
        <v/>
      </c>
      <c r="F38" s="2" t="str">
        <f>IF($D38="","",INDEX('02_能力差距自评'!$C:$C,MATCH($D38,'02_能力差距自评'!$F:$F,0)))</f>
        <v/>
      </c>
      <c r="G38" s="2" t="str">
        <f>IF($D38="","",INDEX('02_能力差距自评'!$E:$E,MATCH($D38,'02_能力差距自评'!$F:$F,0)))</f>
        <v/>
      </c>
      <c r="H38" s="2" t="str">
        <f>IF($D38="","",INDEX('02_能力差距自评'!$L:$L,MATCH($D38,'02_能力差距自评'!$F:$F,0)))</f>
        <v/>
      </c>
      <c r="I38" s="2" t="str">
        <f>IF($D38="","",INDEX('02_能力差距自评'!$M:$M,MATCH($D38,'02_能力差距自评'!$F:$F,0)))</f>
        <v/>
      </c>
      <c r="J38" s="2" t="str">
        <f>IF($D38="","",INDEX('02_能力差距自评'!$N:$N,MATCH($D38,'02_能力差距自评'!$F:$F,0)))</f>
        <v/>
      </c>
      <c r="K38" s="4" t="str">
        <f>IF($D38="","",INDEX('02_能力差距自评'!$O:$O,MATCH($D38,'02_能力差距自评'!$F:$F,0)))</f>
        <v/>
      </c>
      <c r="L38" s="4" t="str">
        <f>IF($D38="","",INDEX('02_能力差距自评'!$I:$I,MATCH($D38,'02_能力差距自评'!$F:$F,0)))</f>
        <v/>
      </c>
      <c r="M38" s="2" t="str">
        <f t="shared" si="0"/>
        <v/>
      </c>
      <c r="N38" s="2" t="str">
        <f>IF($D38="","",INDEX('02_能力差距自评'!$J:$J,MATCH($D38,'02_能力差距自评'!$F:$F,0)))</f>
        <v/>
      </c>
      <c r="O38" s="2" t="str">
        <f>IF($D38="","",INDEX('02_能力差距自评'!$K:$K,MATCH($D38,'02_能力差距自评'!$F:$F,0)))</f>
        <v/>
      </c>
      <c r="P38" s="2"/>
      <c r="Q38" s="2"/>
      <c r="R38" s="2"/>
      <c r="S38" s="8" t="str">
        <f t="shared" si="1"/>
        <v/>
      </c>
      <c r="T38" s="8"/>
      <c r="U38" s="8"/>
      <c r="V38" s="8"/>
    </row>
    <row r="39" spans="1:22" ht="13.9">
      <c r="A39" s="2" t="str">
        <f>IF($D39="","","LP"&amp;TEXT(ROWS($A$2:A39),"000"))</f>
        <v/>
      </c>
      <c r="B39" s="2" t="str">
        <f>IF($D39="","",IFERROR(INDEX('02_能力差距自评'!$Q:$Q,MATCH($D39,'02_能力差距自评'!$F:$F,0)),""))</f>
        <v/>
      </c>
      <c r="C39" s="2" t="str">
        <f>IF($D39="","",IFERROR(INDEX('02_能力差距自评'!$R:$R,MATCH($D39,'02_能力差距自评'!$F:$F,0)),""))</f>
        <v/>
      </c>
      <c r="D39" s="2" t="str">
        <f>IFERROR(INDEX('02_能力差距自评'!$F$2:$F$311,MATCH(ROWS($D$2:D39),'02_能力差距自评'!$W$2:$W$311,0)),"")</f>
        <v/>
      </c>
      <c r="E39" s="2" t="str">
        <f>IF($D39="","",INDEX('02_能力差距自评'!$G:$G,MATCH($D39,'02_能力差距自评'!$F:$F,0)))</f>
        <v/>
      </c>
      <c r="F39" s="2" t="str">
        <f>IF($D39="","",INDEX('02_能力差距自评'!$C:$C,MATCH($D39,'02_能力差距自评'!$F:$F,0)))</f>
        <v/>
      </c>
      <c r="G39" s="2" t="str">
        <f>IF($D39="","",INDEX('02_能力差距自评'!$E:$E,MATCH($D39,'02_能力差距自评'!$F:$F,0)))</f>
        <v/>
      </c>
      <c r="H39" s="2" t="str">
        <f>IF($D39="","",INDEX('02_能力差距自评'!$L:$L,MATCH($D39,'02_能力差距自评'!$F:$F,0)))</f>
        <v/>
      </c>
      <c r="I39" s="2" t="str">
        <f>IF($D39="","",INDEX('02_能力差距自评'!$M:$M,MATCH($D39,'02_能力差距自评'!$F:$F,0)))</f>
        <v/>
      </c>
      <c r="J39" s="2" t="str">
        <f>IF($D39="","",INDEX('02_能力差距自评'!$N:$N,MATCH($D39,'02_能力差距自评'!$F:$F,0)))</f>
        <v/>
      </c>
      <c r="K39" s="4" t="str">
        <f>IF($D39="","",INDEX('02_能力差距自评'!$O:$O,MATCH($D39,'02_能力差距自评'!$F:$F,0)))</f>
        <v/>
      </c>
      <c r="L39" s="4" t="str">
        <f>IF($D39="","",INDEX('02_能力差距自评'!$I:$I,MATCH($D39,'02_能力差距自评'!$F:$F,0)))</f>
        <v/>
      </c>
      <c r="M39" s="2" t="str">
        <f t="shared" si="0"/>
        <v/>
      </c>
      <c r="N39" s="2" t="str">
        <f>IF($D39="","",INDEX('02_能力差距自评'!$J:$J,MATCH($D39,'02_能力差距自评'!$F:$F,0)))</f>
        <v/>
      </c>
      <c r="O39" s="2" t="str">
        <f>IF($D39="","",INDEX('02_能力差距自评'!$K:$K,MATCH($D39,'02_能力差距自评'!$F:$F,0)))</f>
        <v/>
      </c>
      <c r="P39" s="2"/>
      <c r="Q39" s="2"/>
      <c r="R39" s="2"/>
      <c r="S39" s="8" t="str">
        <f t="shared" si="1"/>
        <v/>
      </c>
      <c r="T39" s="8"/>
      <c r="U39" s="8"/>
      <c r="V39" s="8"/>
    </row>
    <row r="40" spans="1:22" ht="13.9">
      <c r="A40" s="2" t="str">
        <f>IF($D40="","","LP"&amp;TEXT(ROWS($A$2:A40),"000"))</f>
        <v/>
      </c>
      <c r="B40" s="2" t="str">
        <f>IF($D40="","",IFERROR(INDEX('02_能力差距自评'!$Q:$Q,MATCH($D40,'02_能力差距自评'!$F:$F,0)),""))</f>
        <v/>
      </c>
      <c r="C40" s="2" t="str">
        <f>IF($D40="","",IFERROR(INDEX('02_能力差距自评'!$R:$R,MATCH($D40,'02_能力差距自评'!$F:$F,0)),""))</f>
        <v/>
      </c>
      <c r="D40" s="2" t="str">
        <f>IFERROR(INDEX('02_能力差距自评'!$F$2:$F$311,MATCH(ROWS($D$2:D40),'02_能力差距自评'!$W$2:$W$311,0)),"")</f>
        <v/>
      </c>
      <c r="E40" s="2" t="str">
        <f>IF($D40="","",INDEX('02_能力差距自评'!$G:$G,MATCH($D40,'02_能力差距自评'!$F:$F,0)))</f>
        <v/>
      </c>
      <c r="F40" s="2" t="str">
        <f>IF($D40="","",INDEX('02_能力差距自评'!$C:$C,MATCH($D40,'02_能力差距自评'!$F:$F,0)))</f>
        <v/>
      </c>
      <c r="G40" s="2" t="str">
        <f>IF($D40="","",INDEX('02_能力差距自评'!$E:$E,MATCH($D40,'02_能力差距自评'!$F:$F,0)))</f>
        <v/>
      </c>
      <c r="H40" s="2" t="str">
        <f>IF($D40="","",INDEX('02_能力差距自评'!$L:$L,MATCH($D40,'02_能力差距自评'!$F:$F,0)))</f>
        <v/>
      </c>
      <c r="I40" s="2" t="str">
        <f>IF($D40="","",INDEX('02_能力差距自评'!$M:$M,MATCH($D40,'02_能力差距自评'!$F:$F,0)))</f>
        <v/>
      </c>
      <c r="J40" s="2" t="str">
        <f>IF($D40="","",INDEX('02_能力差距自评'!$N:$N,MATCH($D40,'02_能力差距自评'!$F:$F,0)))</f>
        <v/>
      </c>
      <c r="K40" s="4" t="str">
        <f>IF($D40="","",INDEX('02_能力差距自评'!$O:$O,MATCH($D40,'02_能力差距自评'!$F:$F,0)))</f>
        <v/>
      </c>
      <c r="L40" s="4" t="str">
        <f>IF($D40="","",INDEX('02_能力差距自评'!$I:$I,MATCH($D40,'02_能力差距自评'!$F:$F,0)))</f>
        <v/>
      </c>
      <c r="M40" s="2" t="str">
        <f t="shared" si="0"/>
        <v/>
      </c>
      <c r="N40" s="2" t="str">
        <f>IF($D40="","",INDEX('02_能力差距自评'!$J:$J,MATCH($D40,'02_能力差距自评'!$F:$F,0)))</f>
        <v/>
      </c>
      <c r="O40" s="2" t="str">
        <f>IF($D40="","",INDEX('02_能力差距自评'!$K:$K,MATCH($D40,'02_能力差距自评'!$F:$F,0)))</f>
        <v/>
      </c>
      <c r="P40" s="2"/>
      <c r="Q40" s="2"/>
      <c r="R40" s="2"/>
      <c r="S40" s="8" t="str">
        <f t="shared" si="1"/>
        <v/>
      </c>
      <c r="T40" s="8"/>
      <c r="U40" s="8"/>
      <c r="V40" s="8"/>
    </row>
    <row r="41" spans="1:22" ht="13.9">
      <c r="A41" s="2" t="str">
        <f>IF($D41="","","LP"&amp;TEXT(ROWS($A$2:A41),"000"))</f>
        <v/>
      </c>
      <c r="B41" s="2" t="str">
        <f>IF($D41="","",IFERROR(INDEX('02_能力差距自评'!$Q:$Q,MATCH($D41,'02_能力差距自评'!$F:$F,0)),""))</f>
        <v/>
      </c>
      <c r="C41" s="2" t="str">
        <f>IF($D41="","",IFERROR(INDEX('02_能力差距自评'!$R:$R,MATCH($D41,'02_能力差距自评'!$F:$F,0)),""))</f>
        <v/>
      </c>
      <c r="D41" s="2" t="str">
        <f>IFERROR(INDEX('02_能力差距自评'!$F$2:$F$311,MATCH(ROWS($D$2:D41),'02_能力差距自评'!$W$2:$W$311,0)),"")</f>
        <v/>
      </c>
      <c r="E41" s="2" t="str">
        <f>IF($D41="","",INDEX('02_能力差距自评'!$G:$G,MATCH($D41,'02_能力差距自评'!$F:$F,0)))</f>
        <v/>
      </c>
      <c r="F41" s="2" t="str">
        <f>IF($D41="","",INDEX('02_能力差距自评'!$C:$C,MATCH($D41,'02_能力差距自评'!$F:$F,0)))</f>
        <v/>
      </c>
      <c r="G41" s="2" t="str">
        <f>IF($D41="","",INDEX('02_能力差距自评'!$E:$E,MATCH($D41,'02_能力差距自评'!$F:$F,0)))</f>
        <v/>
      </c>
      <c r="H41" s="2" t="str">
        <f>IF($D41="","",INDEX('02_能力差距自评'!$L:$L,MATCH($D41,'02_能力差距自评'!$F:$F,0)))</f>
        <v/>
      </c>
      <c r="I41" s="2" t="str">
        <f>IF($D41="","",INDEX('02_能力差距自评'!$M:$M,MATCH($D41,'02_能力差距自评'!$F:$F,0)))</f>
        <v/>
      </c>
      <c r="J41" s="2" t="str">
        <f>IF($D41="","",INDEX('02_能力差距自评'!$N:$N,MATCH($D41,'02_能力差距自评'!$F:$F,0)))</f>
        <v/>
      </c>
      <c r="K41" s="4" t="str">
        <f>IF($D41="","",INDEX('02_能力差距自评'!$O:$O,MATCH($D41,'02_能力差距自评'!$F:$F,0)))</f>
        <v/>
      </c>
      <c r="L41" s="4" t="str">
        <f>IF($D41="","",INDEX('02_能力差距自评'!$I:$I,MATCH($D41,'02_能力差距自评'!$F:$F,0)))</f>
        <v/>
      </c>
      <c r="M41" s="2" t="str">
        <f t="shared" si="0"/>
        <v/>
      </c>
      <c r="N41" s="2" t="str">
        <f>IF($D41="","",INDEX('02_能力差距自评'!$J:$J,MATCH($D41,'02_能力差距自评'!$F:$F,0)))</f>
        <v/>
      </c>
      <c r="O41" s="2" t="str">
        <f>IF($D41="","",INDEX('02_能力差距自评'!$K:$K,MATCH($D41,'02_能力差距自评'!$F:$F,0)))</f>
        <v/>
      </c>
      <c r="P41" s="2"/>
      <c r="Q41" s="2"/>
      <c r="R41" s="2"/>
      <c r="S41" s="8" t="str">
        <f t="shared" si="1"/>
        <v/>
      </c>
      <c r="T41" s="8"/>
      <c r="U41" s="8"/>
      <c r="V41" s="8"/>
    </row>
    <row r="42" spans="1:22" ht="13.9">
      <c r="A42" s="2" t="str">
        <f>IF($D42="","","LP"&amp;TEXT(ROWS($A$2:A42),"000"))</f>
        <v/>
      </c>
      <c r="B42" s="2" t="str">
        <f>IF($D42="","",IFERROR(INDEX('02_能力差距自评'!$Q:$Q,MATCH($D42,'02_能力差距自评'!$F:$F,0)),""))</f>
        <v/>
      </c>
      <c r="C42" s="2" t="str">
        <f>IF($D42="","",IFERROR(INDEX('02_能力差距自评'!$R:$R,MATCH($D42,'02_能力差距自评'!$F:$F,0)),""))</f>
        <v/>
      </c>
      <c r="D42" s="2" t="str">
        <f>IFERROR(INDEX('02_能力差距自评'!$F$2:$F$311,MATCH(ROWS($D$2:D42),'02_能力差距自评'!$W$2:$W$311,0)),"")</f>
        <v/>
      </c>
      <c r="E42" s="2" t="str">
        <f>IF($D42="","",INDEX('02_能力差距自评'!$G:$G,MATCH($D42,'02_能力差距自评'!$F:$F,0)))</f>
        <v/>
      </c>
      <c r="F42" s="2" t="str">
        <f>IF($D42="","",INDEX('02_能力差距自评'!$C:$C,MATCH($D42,'02_能力差距自评'!$F:$F,0)))</f>
        <v/>
      </c>
      <c r="G42" s="2" t="str">
        <f>IF($D42="","",INDEX('02_能力差距自评'!$E:$E,MATCH($D42,'02_能力差距自评'!$F:$F,0)))</f>
        <v/>
      </c>
      <c r="H42" s="2" t="str">
        <f>IF($D42="","",INDEX('02_能力差距自评'!$L:$L,MATCH($D42,'02_能力差距自评'!$F:$F,0)))</f>
        <v/>
      </c>
      <c r="I42" s="2" t="str">
        <f>IF($D42="","",INDEX('02_能力差距自评'!$M:$M,MATCH($D42,'02_能力差距自评'!$F:$F,0)))</f>
        <v/>
      </c>
      <c r="J42" s="2" t="str">
        <f>IF($D42="","",INDEX('02_能力差距自评'!$N:$N,MATCH($D42,'02_能力差距自评'!$F:$F,0)))</f>
        <v/>
      </c>
      <c r="K42" s="4" t="str">
        <f>IF($D42="","",INDEX('02_能力差距自评'!$O:$O,MATCH($D42,'02_能力差距自评'!$F:$F,0)))</f>
        <v/>
      </c>
      <c r="L42" s="4" t="str">
        <f>IF($D42="","",INDEX('02_能力差距自评'!$I:$I,MATCH($D42,'02_能力差距自评'!$F:$F,0)))</f>
        <v/>
      </c>
      <c r="M42" s="2" t="str">
        <f t="shared" si="0"/>
        <v/>
      </c>
      <c r="N42" s="2" t="str">
        <f>IF($D42="","",INDEX('02_能力差距自评'!$J:$J,MATCH($D42,'02_能力差距自评'!$F:$F,0)))</f>
        <v/>
      </c>
      <c r="O42" s="2" t="str">
        <f>IF($D42="","",INDEX('02_能力差距自评'!$K:$K,MATCH($D42,'02_能力差距自评'!$F:$F,0)))</f>
        <v/>
      </c>
      <c r="P42" s="2"/>
      <c r="Q42" s="2"/>
      <c r="R42" s="2"/>
      <c r="S42" s="8" t="str">
        <f t="shared" si="1"/>
        <v/>
      </c>
      <c r="T42" s="8"/>
      <c r="U42" s="8"/>
      <c r="V42" s="8"/>
    </row>
    <row r="43" spans="1:22" ht="13.9">
      <c r="A43" s="2" t="str">
        <f>IF($D43="","","LP"&amp;TEXT(ROWS($A$2:A43),"000"))</f>
        <v/>
      </c>
      <c r="B43" s="2" t="str">
        <f>IF($D43="","",IFERROR(INDEX('02_能力差距自评'!$Q:$Q,MATCH($D43,'02_能力差距自评'!$F:$F,0)),""))</f>
        <v/>
      </c>
      <c r="C43" s="2" t="str">
        <f>IF($D43="","",IFERROR(INDEX('02_能力差距自评'!$R:$R,MATCH($D43,'02_能力差距自评'!$F:$F,0)),""))</f>
        <v/>
      </c>
      <c r="D43" s="2" t="str">
        <f>IFERROR(INDEX('02_能力差距自评'!$F$2:$F$311,MATCH(ROWS($D$2:D43),'02_能力差距自评'!$W$2:$W$311,0)),"")</f>
        <v/>
      </c>
      <c r="E43" s="2" t="str">
        <f>IF($D43="","",INDEX('02_能力差距自评'!$G:$G,MATCH($D43,'02_能力差距自评'!$F:$F,0)))</f>
        <v/>
      </c>
      <c r="F43" s="2" t="str">
        <f>IF($D43="","",INDEX('02_能力差距自评'!$C:$C,MATCH($D43,'02_能力差距自评'!$F:$F,0)))</f>
        <v/>
      </c>
      <c r="G43" s="2" t="str">
        <f>IF($D43="","",INDEX('02_能力差距自评'!$E:$E,MATCH($D43,'02_能力差距自评'!$F:$F,0)))</f>
        <v/>
      </c>
      <c r="H43" s="2" t="str">
        <f>IF($D43="","",INDEX('02_能力差距自评'!$L:$L,MATCH($D43,'02_能力差距自评'!$F:$F,0)))</f>
        <v/>
      </c>
      <c r="I43" s="2" t="str">
        <f>IF($D43="","",INDEX('02_能力差距自评'!$M:$M,MATCH($D43,'02_能力差距自评'!$F:$F,0)))</f>
        <v/>
      </c>
      <c r="J43" s="2" t="str">
        <f>IF($D43="","",INDEX('02_能力差距自评'!$N:$N,MATCH($D43,'02_能力差距自评'!$F:$F,0)))</f>
        <v/>
      </c>
      <c r="K43" s="4" t="str">
        <f>IF($D43="","",INDEX('02_能力差距自评'!$O:$O,MATCH($D43,'02_能力差距自评'!$F:$F,0)))</f>
        <v/>
      </c>
      <c r="L43" s="4" t="str">
        <f>IF($D43="","",INDEX('02_能力差距自评'!$I:$I,MATCH($D43,'02_能力差距自评'!$F:$F,0)))</f>
        <v/>
      </c>
      <c r="M43" s="2" t="str">
        <f t="shared" si="0"/>
        <v/>
      </c>
      <c r="N43" s="2" t="str">
        <f>IF($D43="","",INDEX('02_能力差距自评'!$J:$J,MATCH($D43,'02_能力差距自评'!$F:$F,0)))</f>
        <v/>
      </c>
      <c r="O43" s="2" t="str">
        <f>IF($D43="","",INDEX('02_能力差距自评'!$K:$K,MATCH($D43,'02_能力差距自评'!$F:$F,0)))</f>
        <v/>
      </c>
      <c r="P43" s="2"/>
      <c r="Q43" s="2"/>
      <c r="R43" s="2"/>
      <c r="S43" s="8" t="str">
        <f t="shared" si="1"/>
        <v/>
      </c>
      <c r="T43" s="8"/>
      <c r="U43" s="8"/>
      <c r="V43" s="8"/>
    </row>
    <row r="44" spans="1:22" ht="13.9">
      <c r="A44" s="2" t="str">
        <f>IF($D44="","","LP"&amp;TEXT(ROWS($A$2:A44),"000"))</f>
        <v/>
      </c>
      <c r="B44" s="2" t="str">
        <f>IF($D44="","",IFERROR(INDEX('02_能力差距自评'!$Q:$Q,MATCH($D44,'02_能力差距自评'!$F:$F,0)),""))</f>
        <v/>
      </c>
      <c r="C44" s="2" t="str">
        <f>IF($D44="","",IFERROR(INDEX('02_能力差距自评'!$R:$R,MATCH($D44,'02_能力差距自评'!$F:$F,0)),""))</f>
        <v/>
      </c>
      <c r="D44" s="2" t="str">
        <f>IFERROR(INDEX('02_能力差距自评'!$F$2:$F$311,MATCH(ROWS($D$2:D44),'02_能力差距自评'!$W$2:$W$311,0)),"")</f>
        <v/>
      </c>
      <c r="E44" s="2" t="str">
        <f>IF($D44="","",INDEX('02_能力差距自评'!$G:$G,MATCH($D44,'02_能力差距自评'!$F:$F,0)))</f>
        <v/>
      </c>
      <c r="F44" s="2" t="str">
        <f>IF($D44="","",INDEX('02_能力差距自评'!$C:$C,MATCH($D44,'02_能力差距自评'!$F:$F,0)))</f>
        <v/>
      </c>
      <c r="G44" s="2" t="str">
        <f>IF($D44="","",INDEX('02_能力差距自评'!$E:$E,MATCH($D44,'02_能力差距自评'!$F:$F,0)))</f>
        <v/>
      </c>
      <c r="H44" s="2" t="str">
        <f>IF($D44="","",INDEX('02_能力差距自评'!$L:$L,MATCH($D44,'02_能力差距自评'!$F:$F,0)))</f>
        <v/>
      </c>
      <c r="I44" s="2" t="str">
        <f>IF($D44="","",INDEX('02_能力差距自评'!$M:$M,MATCH($D44,'02_能力差距自评'!$F:$F,0)))</f>
        <v/>
      </c>
      <c r="J44" s="2" t="str">
        <f>IF($D44="","",INDEX('02_能力差距自评'!$N:$N,MATCH($D44,'02_能力差距自评'!$F:$F,0)))</f>
        <v/>
      </c>
      <c r="K44" s="4" t="str">
        <f>IF($D44="","",INDEX('02_能力差距自评'!$O:$O,MATCH($D44,'02_能力差距自评'!$F:$F,0)))</f>
        <v/>
      </c>
      <c r="L44" s="4" t="str">
        <f>IF($D44="","",INDEX('02_能力差距自评'!$I:$I,MATCH($D44,'02_能力差距自评'!$F:$F,0)))</f>
        <v/>
      </c>
      <c r="M44" s="2" t="str">
        <f t="shared" si="0"/>
        <v/>
      </c>
      <c r="N44" s="2" t="str">
        <f>IF($D44="","",INDEX('02_能力差距自评'!$J:$J,MATCH($D44,'02_能力差距自评'!$F:$F,0)))</f>
        <v/>
      </c>
      <c r="O44" s="2" t="str">
        <f>IF($D44="","",INDEX('02_能力差距自评'!$K:$K,MATCH($D44,'02_能力差距自评'!$F:$F,0)))</f>
        <v/>
      </c>
      <c r="P44" s="2"/>
      <c r="Q44" s="2"/>
      <c r="R44" s="2"/>
      <c r="S44" s="8" t="str">
        <f t="shared" si="1"/>
        <v/>
      </c>
      <c r="T44" s="8"/>
      <c r="U44" s="8"/>
      <c r="V44" s="8"/>
    </row>
    <row r="45" spans="1:22" ht="13.9">
      <c r="A45" s="2" t="str">
        <f>IF($D45="","","LP"&amp;TEXT(ROWS($A$2:A45),"000"))</f>
        <v/>
      </c>
      <c r="B45" s="2" t="str">
        <f>IF($D45="","",IFERROR(INDEX('02_能力差距自评'!$Q:$Q,MATCH($D45,'02_能力差距自评'!$F:$F,0)),""))</f>
        <v/>
      </c>
      <c r="C45" s="2" t="str">
        <f>IF($D45="","",IFERROR(INDEX('02_能力差距自评'!$R:$R,MATCH($D45,'02_能力差距自评'!$F:$F,0)),""))</f>
        <v/>
      </c>
      <c r="D45" s="2" t="str">
        <f>IFERROR(INDEX('02_能力差距自评'!$F$2:$F$311,MATCH(ROWS($D$2:D45),'02_能力差距自评'!$W$2:$W$311,0)),"")</f>
        <v/>
      </c>
      <c r="E45" s="2" t="str">
        <f>IF($D45="","",INDEX('02_能力差距自评'!$G:$G,MATCH($D45,'02_能力差距自评'!$F:$F,0)))</f>
        <v/>
      </c>
      <c r="F45" s="2" t="str">
        <f>IF($D45="","",INDEX('02_能力差距自评'!$C:$C,MATCH($D45,'02_能力差距自评'!$F:$F,0)))</f>
        <v/>
      </c>
      <c r="G45" s="2" t="str">
        <f>IF($D45="","",INDEX('02_能力差距自评'!$E:$E,MATCH($D45,'02_能力差距自评'!$F:$F,0)))</f>
        <v/>
      </c>
      <c r="H45" s="2" t="str">
        <f>IF($D45="","",INDEX('02_能力差距自评'!$L:$L,MATCH($D45,'02_能力差距自评'!$F:$F,0)))</f>
        <v/>
      </c>
      <c r="I45" s="2" t="str">
        <f>IF($D45="","",INDEX('02_能力差距自评'!$M:$M,MATCH($D45,'02_能力差距自评'!$F:$F,0)))</f>
        <v/>
      </c>
      <c r="J45" s="2" t="str">
        <f>IF($D45="","",INDEX('02_能力差距自评'!$N:$N,MATCH($D45,'02_能力差距自评'!$F:$F,0)))</f>
        <v/>
      </c>
      <c r="K45" s="4" t="str">
        <f>IF($D45="","",INDEX('02_能力差距自评'!$O:$O,MATCH($D45,'02_能力差距自评'!$F:$F,0)))</f>
        <v/>
      </c>
      <c r="L45" s="4" t="str">
        <f>IF($D45="","",INDEX('02_能力差距自评'!$I:$I,MATCH($D45,'02_能力差距自评'!$F:$F,0)))</f>
        <v/>
      </c>
      <c r="M45" s="2" t="str">
        <f t="shared" si="0"/>
        <v/>
      </c>
      <c r="N45" s="2" t="str">
        <f>IF($D45="","",INDEX('02_能力差距自评'!$J:$J,MATCH($D45,'02_能力差距自评'!$F:$F,0)))</f>
        <v/>
      </c>
      <c r="O45" s="2" t="str">
        <f>IF($D45="","",INDEX('02_能力差距自评'!$K:$K,MATCH($D45,'02_能力差距自评'!$F:$F,0)))</f>
        <v/>
      </c>
      <c r="P45" s="2"/>
      <c r="Q45" s="2"/>
      <c r="R45" s="2"/>
      <c r="S45" s="8" t="str">
        <f t="shared" si="1"/>
        <v/>
      </c>
      <c r="T45" s="8"/>
      <c r="U45" s="8"/>
      <c r="V45" s="8"/>
    </row>
    <row r="46" spans="1:22" ht="13.9">
      <c r="A46" s="2" t="str">
        <f>IF($D46="","","LP"&amp;TEXT(ROWS($A$2:A46),"000"))</f>
        <v/>
      </c>
      <c r="B46" s="2" t="str">
        <f>IF($D46="","",IFERROR(INDEX('02_能力差距自评'!$Q:$Q,MATCH($D46,'02_能力差距自评'!$F:$F,0)),""))</f>
        <v/>
      </c>
      <c r="C46" s="2" t="str">
        <f>IF($D46="","",IFERROR(INDEX('02_能力差距自评'!$R:$R,MATCH($D46,'02_能力差距自评'!$F:$F,0)),""))</f>
        <v/>
      </c>
      <c r="D46" s="2" t="str">
        <f>IFERROR(INDEX('02_能力差距自评'!$F$2:$F$311,MATCH(ROWS($D$2:D46),'02_能力差距自评'!$W$2:$W$311,0)),"")</f>
        <v/>
      </c>
      <c r="E46" s="2" t="str">
        <f>IF($D46="","",INDEX('02_能力差距自评'!$G:$G,MATCH($D46,'02_能力差距自评'!$F:$F,0)))</f>
        <v/>
      </c>
      <c r="F46" s="2" t="str">
        <f>IF($D46="","",INDEX('02_能力差距自评'!$C:$C,MATCH($D46,'02_能力差距自评'!$F:$F,0)))</f>
        <v/>
      </c>
      <c r="G46" s="2" t="str">
        <f>IF($D46="","",INDEX('02_能力差距自评'!$E:$E,MATCH($D46,'02_能力差距自评'!$F:$F,0)))</f>
        <v/>
      </c>
      <c r="H46" s="2" t="str">
        <f>IF($D46="","",INDEX('02_能力差距自评'!$L:$L,MATCH($D46,'02_能力差距自评'!$F:$F,0)))</f>
        <v/>
      </c>
      <c r="I46" s="2" t="str">
        <f>IF($D46="","",INDEX('02_能力差距自评'!$M:$M,MATCH($D46,'02_能力差距自评'!$F:$F,0)))</f>
        <v/>
      </c>
      <c r="J46" s="2" t="str">
        <f>IF($D46="","",INDEX('02_能力差距自评'!$N:$N,MATCH($D46,'02_能力差距自评'!$F:$F,0)))</f>
        <v/>
      </c>
      <c r="K46" s="4" t="str">
        <f>IF($D46="","",INDEX('02_能力差距自评'!$O:$O,MATCH($D46,'02_能力差距自评'!$F:$F,0)))</f>
        <v/>
      </c>
      <c r="L46" s="4" t="str">
        <f>IF($D46="","",INDEX('02_能力差距自评'!$I:$I,MATCH($D46,'02_能力差距自评'!$F:$F,0)))</f>
        <v/>
      </c>
      <c r="M46" s="2" t="str">
        <f t="shared" si="0"/>
        <v/>
      </c>
      <c r="N46" s="2" t="str">
        <f>IF($D46="","",INDEX('02_能力差距自评'!$J:$J,MATCH($D46,'02_能力差距自评'!$F:$F,0)))</f>
        <v/>
      </c>
      <c r="O46" s="2" t="str">
        <f>IF($D46="","",INDEX('02_能力差距自评'!$K:$K,MATCH($D46,'02_能力差距自评'!$F:$F,0)))</f>
        <v/>
      </c>
      <c r="P46" s="2"/>
      <c r="Q46" s="2"/>
      <c r="R46" s="2"/>
      <c r="S46" s="8" t="str">
        <f t="shared" si="1"/>
        <v/>
      </c>
      <c r="T46" s="8"/>
      <c r="U46" s="8"/>
      <c r="V46" s="8"/>
    </row>
    <row r="47" spans="1:22" ht="13.9">
      <c r="A47" s="2" t="str">
        <f>IF($D47="","","LP"&amp;TEXT(ROWS($A$2:A47),"000"))</f>
        <v/>
      </c>
      <c r="B47" s="2" t="str">
        <f>IF($D47="","",IFERROR(INDEX('02_能力差距自评'!$Q:$Q,MATCH($D47,'02_能力差距自评'!$F:$F,0)),""))</f>
        <v/>
      </c>
      <c r="C47" s="2" t="str">
        <f>IF($D47="","",IFERROR(INDEX('02_能力差距自评'!$R:$R,MATCH($D47,'02_能力差距自评'!$F:$F,0)),""))</f>
        <v/>
      </c>
      <c r="D47" s="2" t="str">
        <f>IFERROR(INDEX('02_能力差距自评'!$F$2:$F$311,MATCH(ROWS($D$2:D47),'02_能力差距自评'!$W$2:$W$311,0)),"")</f>
        <v/>
      </c>
      <c r="E47" s="2" t="str">
        <f>IF($D47="","",INDEX('02_能力差距自评'!$G:$G,MATCH($D47,'02_能力差距自评'!$F:$F,0)))</f>
        <v/>
      </c>
      <c r="F47" s="2" t="str">
        <f>IF($D47="","",INDEX('02_能力差距自评'!$C:$C,MATCH($D47,'02_能力差距自评'!$F:$F,0)))</f>
        <v/>
      </c>
      <c r="G47" s="2" t="str">
        <f>IF($D47="","",INDEX('02_能力差距自评'!$E:$E,MATCH($D47,'02_能力差距自评'!$F:$F,0)))</f>
        <v/>
      </c>
      <c r="H47" s="2" t="str">
        <f>IF($D47="","",INDEX('02_能力差距自评'!$L:$L,MATCH($D47,'02_能力差距自评'!$F:$F,0)))</f>
        <v/>
      </c>
      <c r="I47" s="2" t="str">
        <f>IF($D47="","",INDEX('02_能力差距自评'!$M:$M,MATCH($D47,'02_能力差距自评'!$F:$F,0)))</f>
        <v/>
      </c>
      <c r="J47" s="2" t="str">
        <f>IF($D47="","",INDEX('02_能力差距自评'!$N:$N,MATCH($D47,'02_能力差距自评'!$F:$F,0)))</f>
        <v/>
      </c>
      <c r="K47" s="4" t="str">
        <f>IF($D47="","",INDEX('02_能力差距自评'!$O:$O,MATCH($D47,'02_能力差距自评'!$F:$F,0)))</f>
        <v/>
      </c>
      <c r="L47" s="4" t="str">
        <f>IF($D47="","",INDEX('02_能力差距自评'!$I:$I,MATCH($D47,'02_能力差距自评'!$F:$F,0)))</f>
        <v/>
      </c>
      <c r="M47" s="2" t="str">
        <f t="shared" si="0"/>
        <v/>
      </c>
      <c r="N47" s="2" t="str">
        <f>IF($D47="","",INDEX('02_能力差距自评'!$J:$J,MATCH($D47,'02_能力差距自评'!$F:$F,0)))</f>
        <v/>
      </c>
      <c r="O47" s="2" t="str">
        <f>IF($D47="","",INDEX('02_能力差距自评'!$K:$K,MATCH($D47,'02_能力差距自评'!$F:$F,0)))</f>
        <v/>
      </c>
      <c r="P47" s="2"/>
      <c r="Q47" s="2"/>
      <c r="R47" s="2"/>
      <c r="S47" s="8" t="str">
        <f t="shared" si="1"/>
        <v/>
      </c>
      <c r="T47" s="8"/>
      <c r="U47" s="8"/>
      <c r="V47" s="8"/>
    </row>
    <row r="48" spans="1:22" ht="13.9">
      <c r="A48" s="2" t="str">
        <f>IF($D48="","","LP"&amp;TEXT(ROWS($A$2:A48),"000"))</f>
        <v/>
      </c>
      <c r="B48" s="2" t="str">
        <f>IF($D48="","",IFERROR(INDEX('02_能力差距自评'!$Q:$Q,MATCH($D48,'02_能力差距自评'!$F:$F,0)),""))</f>
        <v/>
      </c>
      <c r="C48" s="2" t="str">
        <f>IF($D48="","",IFERROR(INDEX('02_能力差距自评'!$R:$R,MATCH($D48,'02_能力差距自评'!$F:$F,0)),""))</f>
        <v/>
      </c>
      <c r="D48" s="2" t="str">
        <f>IFERROR(INDEX('02_能力差距自评'!$F$2:$F$311,MATCH(ROWS($D$2:D48),'02_能力差距自评'!$W$2:$W$311,0)),"")</f>
        <v/>
      </c>
      <c r="E48" s="2" t="str">
        <f>IF($D48="","",INDEX('02_能力差距自评'!$G:$G,MATCH($D48,'02_能力差距自评'!$F:$F,0)))</f>
        <v/>
      </c>
      <c r="F48" s="2" t="str">
        <f>IF($D48="","",INDEX('02_能力差距自评'!$C:$C,MATCH($D48,'02_能力差距自评'!$F:$F,0)))</f>
        <v/>
      </c>
      <c r="G48" s="2" t="str">
        <f>IF($D48="","",INDEX('02_能力差距自评'!$E:$E,MATCH($D48,'02_能力差距自评'!$F:$F,0)))</f>
        <v/>
      </c>
      <c r="H48" s="2" t="str">
        <f>IF($D48="","",INDEX('02_能力差距自评'!$L:$L,MATCH($D48,'02_能力差距自评'!$F:$F,0)))</f>
        <v/>
      </c>
      <c r="I48" s="2" t="str">
        <f>IF($D48="","",INDEX('02_能力差距自评'!$M:$M,MATCH($D48,'02_能力差距自评'!$F:$F,0)))</f>
        <v/>
      </c>
      <c r="J48" s="2" t="str">
        <f>IF($D48="","",INDEX('02_能力差距自评'!$N:$N,MATCH($D48,'02_能力差距自评'!$F:$F,0)))</f>
        <v/>
      </c>
      <c r="K48" s="4" t="str">
        <f>IF($D48="","",INDEX('02_能力差距自评'!$O:$O,MATCH($D48,'02_能力差距自评'!$F:$F,0)))</f>
        <v/>
      </c>
      <c r="L48" s="4" t="str">
        <f>IF($D48="","",INDEX('02_能力差距自评'!$I:$I,MATCH($D48,'02_能力差距自评'!$F:$F,0)))</f>
        <v/>
      </c>
      <c r="M48" s="2" t="str">
        <f t="shared" si="0"/>
        <v/>
      </c>
      <c r="N48" s="2" t="str">
        <f>IF($D48="","",INDEX('02_能力差距自评'!$J:$J,MATCH($D48,'02_能力差距自评'!$F:$F,0)))</f>
        <v/>
      </c>
      <c r="O48" s="2" t="str">
        <f>IF($D48="","",INDEX('02_能力差距自评'!$K:$K,MATCH($D48,'02_能力差距自评'!$F:$F,0)))</f>
        <v/>
      </c>
      <c r="P48" s="2"/>
      <c r="Q48" s="2"/>
      <c r="R48" s="2"/>
      <c r="S48" s="8" t="str">
        <f t="shared" si="1"/>
        <v/>
      </c>
      <c r="T48" s="8"/>
      <c r="U48" s="8"/>
      <c r="V48" s="8"/>
    </row>
    <row r="49" spans="1:22" ht="13.9">
      <c r="A49" s="2" t="str">
        <f>IF($D49="","","LP"&amp;TEXT(ROWS($A$2:A49),"000"))</f>
        <v/>
      </c>
      <c r="B49" s="2" t="str">
        <f>IF($D49="","",IFERROR(INDEX('02_能力差距自评'!$Q:$Q,MATCH($D49,'02_能力差距自评'!$F:$F,0)),""))</f>
        <v/>
      </c>
      <c r="C49" s="2" t="str">
        <f>IF($D49="","",IFERROR(INDEX('02_能力差距自评'!$R:$R,MATCH($D49,'02_能力差距自评'!$F:$F,0)),""))</f>
        <v/>
      </c>
      <c r="D49" s="2" t="str">
        <f>IFERROR(INDEX('02_能力差距自评'!$F$2:$F$311,MATCH(ROWS($D$2:D49),'02_能力差距自评'!$W$2:$W$311,0)),"")</f>
        <v/>
      </c>
      <c r="E49" s="2" t="str">
        <f>IF($D49="","",INDEX('02_能力差距自评'!$G:$G,MATCH($D49,'02_能力差距自评'!$F:$F,0)))</f>
        <v/>
      </c>
      <c r="F49" s="2" t="str">
        <f>IF($D49="","",INDEX('02_能力差距自评'!$C:$C,MATCH($D49,'02_能力差距自评'!$F:$F,0)))</f>
        <v/>
      </c>
      <c r="G49" s="2" t="str">
        <f>IF($D49="","",INDEX('02_能力差距自评'!$E:$E,MATCH($D49,'02_能力差距自评'!$F:$F,0)))</f>
        <v/>
      </c>
      <c r="H49" s="2" t="str">
        <f>IF($D49="","",INDEX('02_能力差距自评'!$L:$L,MATCH($D49,'02_能力差距自评'!$F:$F,0)))</f>
        <v/>
      </c>
      <c r="I49" s="2" t="str">
        <f>IF($D49="","",INDEX('02_能力差距自评'!$M:$M,MATCH($D49,'02_能力差距自评'!$F:$F,0)))</f>
        <v/>
      </c>
      <c r="J49" s="2" t="str">
        <f>IF($D49="","",INDEX('02_能力差距自评'!$N:$N,MATCH($D49,'02_能力差距自评'!$F:$F,0)))</f>
        <v/>
      </c>
      <c r="K49" s="4" t="str">
        <f>IF($D49="","",INDEX('02_能力差距自评'!$O:$O,MATCH($D49,'02_能力差距自评'!$F:$F,0)))</f>
        <v/>
      </c>
      <c r="L49" s="4" t="str">
        <f>IF($D49="","",INDEX('02_能力差距自评'!$I:$I,MATCH($D49,'02_能力差距自评'!$F:$F,0)))</f>
        <v/>
      </c>
      <c r="M49" s="2" t="str">
        <f t="shared" si="0"/>
        <v/>
      </c>
      <c r="N49" s="2" t="str">
        <f>IF($D49="","",INDEX('02_能力差距自评'!$J:$J,MATCH($D49,'02_能力差距自评'!$F:$F,0)))</f>
        <v/>
      </c>
      <c r="O49" s="2" t="str">
        <f>IF($D49="","",INDEX('02_能力差距自评'!$K:$K,MATCH($D49,'02_能力差距自评'!$F:$F,0)))</f>
        <v/>
      </c>
      <c r="P49" s="2"/>
      <c r="Q49" s="2"/>
      <c r="R49" s="2"/>
      <c r="S49" s="8" t="str">
        <f t="shared" si="1"/>
        <v/>
      </c>
      <c r="T49" s="8"/>
      <c r="U49" s="8"/>
      <c r="V49" s="8"/>
    </row>
    <row r="50" spans="1:22" ht="13.9">
      <c r="A50" s="2" t="str">
        <f>IF($D50="","","LP"&amp;TEXT(ROWS($A$2:A50),"000"))</f>
        <v/>
      </c>
      <c r="B50" s="2" t="str">
        <f>IF($D50="","",IFERROR(INDEX('02_能力差距自评'!$Q:$Q,MATCH($D50,'02_能力差距自评'!$F:$F,0)),""))</f>
        <v/>
      </c>
      <c r="C50" s="2" t="str">
        <f>IF($D50="","",IFERROR(INDEX('02_能力差距自评'!$R:$R,MATCH($D50,'02_能力差距自评'!$F:$F,0)),""))</f>
        <v/>
      </c>
      <c r="D50" s="2" t="str">
        <f>IFERROR(INDEX('02_能力差距自评'!$F$2:$F$311,MATCH(ROWS($D$2:D50),'02_能力差距自评'!$W$2:$W$311,0)),"")</f>
        <v/>
      </c>
      <c r="E50" s="2" t="str">
        <f>IF($D50="","",INDEX('02_能力差距自评'!$G:$G,MATCH($D50,'02_能力差距自评'!$F:$F,0)))</f>
        <v/>
      </c>
      <c r="F50" s="2" t="str">
        <f>IF($D50="","",INDEX('02_能力差距自评'!$C:$C,MATCH($D50,'02_能力差距自评'!$F:$F,0)))</f>
        <v/>
      </c>
      <c r="G50" s="2" t="str">
        <f>IF($D50="","",INDEX('02_能力差距自评'!$E:$E,MATCH($D50,'02_能力差距自评'!$F:$F,0)))</f>
        <v/>
      </c>
      <c r="H50" s="2" t="str">
        <f>IF($D50="","",INDEX('02_能力差距自评'!$L:$L,MATCH($D50,'02_能力差距自评'!$F:$F,0)))</f>
        <v/>
      </c>
      <c r="I50" s="2" t="str">
        <f>IF($D50="","",INDEX('02_能力差距自评'!$M:$M,MATCH($D50,'02_能力差距自评'!$F:$F,0)))</f>
        <v/>
      </c>
      <c r="J50" s="2" t="str">
        <f>IF($D50="","",INDEX('02_能力差距自评'!$N:$N,MATCH($D50,'02_能力差距自评'!$F:$F,0)))</f>
        <v/>
      </c>
      <c r="K50" s="4" t="str">
        <f>IF($D50="","",INDEX('02_能力差距自评'!$O:$O,MATCH($D50,'02_能力差距自评'!$F:$F,0)))</f>
        <v/>
      </c>
      <c r="L50" s="4" t="str">
        <f>IF($D50="","",INDEX('02_能力差距自评'!$I:$I,MATCH($D50,'02_能力差距自评'!$F:$F,0)))</f>
        <v/>
      </c>
      <c r="M50" s="2" t="str">
        <f t="shared" si="0"/>
        <v/>
      </c>
      <c r="N50" s="2" t="str">
        <f>IF($D50="","",INDEX('02_能力差距自评'!$J:$J,MATCH($D50,'02_能力差距自评'!$F:$F,0)))</f>
        <v/>
      </c>
      <c r="O50" s="2" t="str">
        <f>IF($D50="","",INDEX('02_能力差距自评'!$K:$K,MATCH($D50,'02_能力差距自评'!$F:$F,0)))</f>
        <v/>
      </c>
      <c r="P50" s="2"/>
      <c r="Q50" s="2"/>
      <c r="R50" s="2"/>
      <c r="S50" s="8" t="str">
        <f t="shared" si="1"/>
        <v/>
      </c>
      <c r="T50" s="8"/>
      <c r="U50" s="8"/>
      <c r="V50" s="8"/>
    </row>
    <row r="51" spans="1:22" ht="13.9">
      <c r="A51" s="2" t="str">
        <f>IF($D51="","","LP"&amp;TEXT(ROWS($A$2:A51),"000"))</f>
        <v/>
      </c>
      <c r="B51" s="2" t="str">
        <f>IF($D51="","",IFERROR(INDEX('02_能力差距自评'!$Q:$Q,MATCH($D51,'02_能力差距自评'!$F:$F,0)),""))</f>
        <v/>
      </c>
      <c r="C51" s="2" t="str">
        <f>IF($D51="","",IFERROR(INDEX('02_能力差距自评'!$R:$R,MATCH($D51,'02_能力差距自评'!$F:$F,0)),""))</f>
        <v/>
      </c>
      <c r="D51" s="2" t="str">
        <f>IFERROR(INDEX('02_能力差距自评'!$F$2:$F$311,MATCH(ROWS($D$2:D51),'02_能力差距自评'!$W$2:$W$311,0)),"")</f>
        <v/>
      </c>
      <c r="E51" s="2" t="str">
        <f>IF($D51="","",INDEX('02_能力差距自评'!$G:$G,MATCH($D51,'02_能力差距自评'!$F:$F,0)))</f>
        <v/>
      </c>
      <c r="F51" s="2" t="str">
        <f>IF($D51="","",INDEX('02_能力差距自评'!$C:$C,MATCH($D51,'02_能力差距自评'!$F:$F,0)))</f>
        <v/>
      </c>
      <c r="G51" s="2" t="str">
        <f>IF($D51="","",INDEX('02_能力差距自评'!$E:$E,MATCH($D51,'02_能力差距自评'!$F:$F,0)))</f>
        <v/>
      </c>
      <c r="H51" s="2" t="str">
        <f>IF($D51="","",INDEX('02_能力差距自评'!$L:$L,MATCH($D51,'02_能力差距自评'!$F:$F,0)))</f>
        <v/>
      </c>
      <c r="I51" s="2" t="str">
        <f>IF($D51="","",INDEX('02_能力差距自评'!$M:$M,MATCH($D51,'02_能力差距自评'!$F:$F,0)))</f>
        <v/>
      </c>
      <c r="J51" s="2" t="str">
        <f>IF($D51="","",INDEX('02_能力差距自评'!$N:$N,MATCH($D51,'02_能力差距自评'!$F:$F,0)))</f>
        <v/>
      </c>
      <c r="K51" s="4" t="str">
        <f>IF($D51="","",INDEX('02_能力差距自评'!$O:$O,MATCH($D51,'02_能力差距自评'!$F:$F,0)))</f>
        <v/>
      </c>
      <c r="L51" s="4" t="str">
        <f>IF($D51="","",INDEX('02_能力差距自评'!$I:$I,MATCH($D51,'02_能力差距自评'!$F:$F,0)))</f>
        <v/>
      </c>
      <c r="M51" s="2" t="str">
        <f t="shared" si="0"/>
        <v/>
      </c>
      <c r="N51" s="2" t="str">
        <f>IF($D51="","",INDEX('02_能力差距自评'!$J:$J,MATCH($D51,'02_能力差距自评'!$F:$F,0)))</f>
        <v/>
      </c>
      <c r="O51" s="2" t="str">
        <f>IF($D51="","",INDEX('02_能力差距自评'!$K:$K,MATCH($D51,'02_能力差距自评'!$F:$F,0)))</f>
        <v/>
      </c>
      <c r="P51" s="2"/>
      <c r="Q51" s="2"/>
      <c r="R51" s="2"/>
      <c r="S51" s="8" t="str">
        <f t="shared" si="1"/>
        <v/>
      </c>
      <c r="T51" s="8"/>
      <c r="U51" s="8"/>
      <c r="V51" s="8"/>
    </row>
    <row r="52" spans="1:22" ht="13.9">
      <c r="A52" s="2" t="str">
        <f>IF($D52="","","LP"&amp;TEXT(ROWS($A$2:A52),"000"))</f>
        <v/>
      </c>
      <c r="B52" s="2" t="str">
        <f>IF($D52="","",IFERROR(INDEX('02_能力差距自评'!$Q:$Q,MATCH($D52,'02_能力差距自评'!$F:$F,0)),""))</f>
        <v/>
      </c>
      <c r="C52" s="2" t="str">
        <f>IF($D52="","",IFERROR(INDEX('02_能力差距自评'!$R:$R,MATCH($D52,'02_能力差距自评'!$F:$F,0)),""))</f>
        <v/>
      </c>
      <c r="D52" s="2" t="str">
        <f>IFERROR(INDEX('02_能力差距自评'!$F$2:$F$311,MATCH(ROWS($D$2:D52),'02_能力差距自评'!$W$2:$W$311,0)),"")</f>
        <v/>
      </c>
      <c r="E52" s="2" t="str">
        <f>IF($D52="","",INDEX('02_能力差距自评'!$G:$G,MATCH($D52,'02_能力差距自评'!$F:$F,0)))</f>
        <v/>
      </c>
      <c r="F52" s="2" t="str">
        <f>IF($D52="","",INDEX('02_能力差距自评'!$C:$C,MATCH($D52,'02_能力差距自评'!$F:$F,0)))</f>
        <v/>
      </c>
      <c r="G52" s="2" t="str">
        <f>IF($D52="","",INDEX('02_能力差距自评'!$E:$E,MATCH($D52,'02_能力差距自评'!$F:$F,0)))</f>
        <v/>
      </c>
      <c r="H52" s="2" t="str">
        <f>IF($D52="","",INDEX('02_能力差距自评'!$L:$L,MATCH($D52,'02_能力差距自评'!$F:$F,0)))</f>
        <v/>
      </c>
      <c r="I52" s="2" t="str">
        <f>IF($D52="","",INDEX('02_能力差距自评'!$M:$M,MATCH($D52,'02_能力差距自评'!$F:$F,0)))</f>
        <v/>
      </c>
      <c r="J52" s="2" t="str">
        <f>IF($D52="","",INDEX('02_能力差距自评'!$N:$N,MATCH($D52,'02_能力差距自评'!$F:$F,0)))</f>
        <v/>
      </c>
      <c r="K52" s="4" t="str">
        <f>IF($D52="","",INDEX('02_能力差距自评'!$O:$O,MATCH($D52,'02_能力差距自评'!$F:$F,0)))</f>
        <v/>
      </c>
      <c r="L52" s="4" t="str">
        <f>IF($D52="","",INDEX('02_能力差距自评'!$I:$I,MATCH($D52,'02_能力差距自评'!$F:$F,0)))</f>
        <v/>
      </c>
      <c r="M52" s="2" t="str">
        <f t="shared" si="0"/>
        <v/>
      </c>
      <c r="N52" s="2" t="str">
        <f>IF($D52="","",INDEX('02_能力差距自评'!$J:$J,MATCH($D52,'02_能力差距自评'!$F:$F,0)))</f>
        <v/>
      </c>
      <c r="O52" s="2" t="str">
        <f>IF($D52="","",INDEX('02_能力差距自评'!$K:$K,MATCH($D52,'02_能力差距自评'!$F:$F,0)))</f>
        <v/>
      </c>
      <c r="P52" s="2"/>
      <c r="Q52" s="2"/>
      <c r="R52" s="2"/>
      <c r="S52" s="8" t="str">
        <f t="shared" si="1"/>
        <v/>
      </c>
      <c r="T52" s="8"/>
      <c r="U52" s="8"/>
      <c r="V52" s="8"/>
    </row>
    <row r="53" spans="1:22" ht="13.9">
      <c r="A53" s="2" t="str">
        <f>IF($D53="","","LP"&amp;TEXT(ROWS($A$2:A53),"000"))</f>
        <v/>
      </c>
      <c r="B53" s="2" t="str">
        <f>IF($D53="","",IFERROR(INDEX('02_能力差距自评'!$Q:$Q,MATCH($D53,'02_能力差距自评'!$F:$F,0)),""))</f>
        <v/>
      </c>
      <c r="C53" s="2" t="str">
        <f>IF($D53="","",IFERROR(INDEX('02_能力差距自评'!$R:$R,MATCH($D53,'02_能力差距自评'!$F:$F,0)),""))</f>
        <v/>
      </c>
      <c r="D53" s="2" t="str">
        <f>IFERROR(INDEX('02_能力差距自评'!$F$2:$F$311,MATCH(ROWS($D$2:D53),'02_能力差距自评'!$W$2:$W$311,0)),"")</f>
        <v/>
      </c>
      <c r="E53" s="2" t="str">
        <f>IF($D53="","",INDEX('02_能力差距自评'!$G:$G,MATCH($D53,'02_能力差距自评'!$F:$F,0)))</f>
        <v/>
      </c>
      <c r="F53" s="2" t="str">
        <f>IF($D53="","",INDEX('02_能力差距自评'!$C:$C,MATCH($D53,'02_能力差距自评'!$F:$F,0)))</f>
        <v/>
      </c>
      <c r="G53" s="2" t="str">
        <f>IF($D53="","",INDEX('02_能力差距自评'!$E:$E,MATCH($D53,'02_能力差距自评'!$F:$F,0)))</f>
        <v/>
      </c>
      <c r="H53" s="2" t="str">
        <f>IF($D53="","",INDEX('02_能力差距自评'!$L:$L,MATCH($D53,'02_能力差距自评'!$F:$F,0)))</f>
        <v/>
      </c>
      <c r="I53" s="2" t="str">
        <f>IF($D53="","",INDEX('02_能力差距自评'!$M:$M,MATCH($D53,'02_能力差距自评'!$F:$F,0)))</f>
        <v/>
      </c>
      <c r="J53" s="2" t="str">
        <f>IF($D53="","",INDEX('02_能力差距自评'!$N:$N,MATCH($D53,'02_能力差距自评'!$F:$F,0)))</f>
        <v/>
      </c>
      <c r="K53" s="4" t="str">
        <f>IF($D53="","",INDEX('02_能力差距自评'!$O:$O,MATCH($D53,'02_能力差距自评'!$F:$F,0)))</f>
        <v/>
      </c>
      <c r="L53" s="4" t="str">
        <f>IF($D53="","",INDEX('02_能力差距自评'!$I:$I,MATCH($D53,'02_能力差距自评'!$F:$F,0)))</f>
        <v/>
      </c>
      <c r="M53" s="2" t="str">
        <f t="shared" si="0"/>
        <v/>
      </c>
      <c r="N53" s="2" t="str">
        <f>IF($D53="","",INDEX('02_能力差距自评'!$J:$J,MATCH($D53,'02_能力差距自评'!$F:$F,0)))</f>
        <v/>
      </c>
      <c r="O53" s="2" t="str">
        <f>IF($D53="","",INDEX('02_能力差距自评'!$K:$K,MATCH($D53,'02_能力差距自评'!$F:$F,0)))</f>
        <v/>
      </c>
      <c r="P53" s="2"/>
      <c r="Q53" s="2"/>
      <c r="R53" s="2"/>
      <c r="S53" s="8" t="str">
        <f t="shared" si="1"/>
        <v/>
      </c>
      <c r="T53" s="8"/>
      <c r="U53" s="8"/>
      <c r="V53" s="8"/>
    </row>
    <row r="54" spans="1:22" ht="13.9">
      <c r="A54" s="2" t="str">
        <f>IF($D54="","","LP"&amp;TEXT(ROWS($A$2:A54),"000"))</f>
        <v/>
      </c>
      <c r="B54" s="2" t="str">
        <f>IF($D54="","",IFERROR(INDEX('02_能力差距自评'!$Q:$Q,MATCH($D54,'02_能力差距自评'!$F:$F,0)),""))</f>
        <v/>
      </c>
      <c r="C54" s="2" t="str">
        <f>IF($D54="","",IFERROR(INDEX('02_能力差距自评'!$R:$R,MATCH($D54,'02_能力差距自评'!$F:$F,0)),""))</f>
        <v/>
      </c>
      <c r="D54" s="2" t="str">
        <f>IFERROR(INDEX('02_能力差距自评'!$F$2:$F$311,MATCH(ROWS($D$2:D54),'02_能力差距自评'!$W$2:$W$311,0)),"")</f>
        <v/>
      </c>
      <c r="E54" s="2" t="str">
        <f>IF($D54="","",INDEX('02_能力差距自评'!$G:$G,MATCH($D54,'02_能力差距自评'!$F:$F,0)))</f>
        <v/>
      </c>
      <c r="F54" s="2" t="str">
        <f>IF($D54="","",INDEX('02_能力差距自评'!$C:$C,MATCH($D54,'02_能力差距自评'!$F:$F,0)))</f>
        <v/>
      </c>
      <c r="G54" s="2" t="str">
        <f>IF($D54="","",INDEX('02_能力差距自评'!$E:$E,MATCH($D54,'02_能力差距自评'!$F:$F,0)))</f>
        <v/>
      </c>
      <c r="H54" s="2" t="str">
        <f>IF($D54="","",INDEX('02_能力差距自评'!$L:$L,MATCH($D54,'02_能力差距自评'!$F:$F,0)))</f>
        <v/>
      </c>
      <c r="I54" s="2" t="str">
        <f>IF($D54="","",INDEX('02_能力差距自评'!$M:$M,MATCH($D54,'02_能力差距自评'!$F:$F,0)))</f>
        <v/>
      </c>
      <c r="J54" s="2" t="str">
        <f>IF($D54="","",INDEX('02_能力差距自评'!$N:$N,MATCH($D54,'02_能力差距自评'!$F:$F,0)))</f>
        <v/>
      </c>
      <c r="K54" s="4" t="str">
        <f>IF($D54="","",INDEX('02_能力差距自评'!$O:$O,MATCH($D54,'02_能力差距自评'!$F:$F,0)))</f>
        <v/>
      </c>
      <c r="L54" s="4" t="str">
        <f>IF($D54="","",INDEX('02_能力差距自评'!$I:$I,MATCH($D54,'02_能力差距自评'!$F:$F,0)))</f>
        <v/>
      </c>
      <c r="M54" s="2" t="str">
        <f t="shared" si="0"/>
        <v/>
      </c>
      <c r="N54" s="2" t="str">
        <f>IF($D54="","",INDEX('02_能力差距自评'!$J:$J,MATCH($D54,'02_能力差距自评'!$F:$F,0)))</f>
        <v/>
      </c>
      <c r="O54" s="2" t="str">
        <f>IF($D54="","",INDEX('02_能力差距自评'!$K:$K,MATCH($D54,'02_能力差距自评'!$F:$F,0)))</f>
        <v/>
      </c>
      <c r="P54" s="2"/>
      <c r="Q54" s="2"/>
      <c r="R54" s="2"/>
      <c r="S54" s="8" t="str">
        <f t="shared" si="1"/>
        <v/>
      </c>
      <c r="T54" s="8"/>
      <c r="U54" s="8"/>
      <c r="V54" s="8"/>
    </row>
    <row r="55" spans="1:22" ht="13.9">
      <c r="A55" s="2" t="str">
        <f>IF($D55="","","LP"&amp;TEXT(ROWS($A$2:A55),"000"))</f>
        <v/>
      </c>
      <c r="B55" s="2" t="str">
        <f>IF($D55="","",IFERROR(INDEX('02_能力差距自评'!$Q:$Q,MATCH($D55,'02_能力差距自评'!$F:$F,0)),""))</f>
        <v/>
      </c>
      <c r="C55" s="2" t="str">
        <f>IF($D55="","",IFERROR(INDEX('02_能力差距自评'!$R:$R,MATCH($D55,'02_能力差距自评'!$F:$F,0)),""))</f>
        <v/>
      </c>
      <c r="D55" s="2" t="str">
        <f>IFERROR(INDEX('02_能力差距自评'!$F$2:$F$311,MATCH(ROWS($D$2:D55),'02_能力差距自评'!$W$2:$W$311,0)),"")</f>
        <v/>
      </c>
      <c r="E55" s="2" t="str">
        <f>IF($D55="","",INDEX('02_能力差距自评'!$G:$G,MATCH($D55,'02_能力差距自评'!$F:$F,0)))</f>
        <v/>
      </c>
      <c r="F55" s="2" t="str">
        <f>IF($D55="","",INDEX('02_能力差距自评'!$C:$C,MATCH($D55,'02_能力差距自评'!$F:$F,0)))</f>
        <v/>
      </c>
      <c r="G55" s="2" t="str">
        <f>IF($D55="","",INDEX('02_能力差距自评'!$E:$E,MATCH($D55,'02_能力差距自评'!$F:$F,0)))</f>
        <v/>
      </c>
      <c r="H55" s="2" t="str">
        <f>IF($D55="","",INDEX('02_能力差距自评'!$L:$L,MATCH($D55,'02_能力差距自评'!$F:$F,0)))</f>
        <v/>
      </c>
      <c r="I55" s="2" t="str">
        <f>IF($D55="","",INDEX('02_能力差距自评'!$M:$M,MATCH($D55,'02_能力差距自评'!$F:$F,0)))</f>
        <v/>
      </c>
      <c r="J55" s="2" t="str">
        <f>IF($D55="","",INDEX('02_能力差距自评'!$N:$N,MATCH($D55,'02_能力差距自评'!$F:$F,0)))</f>
        <v/>
      </c>
      <c r="K55" s="4" t="str">
        <f>IF($D55="","",INDEX('02_能力差距自评'!$O:$O,MATCH($D55,'02_能力差距自评'!$F:$F,0)))</f>
        <v/>
      </c>
      <c r="L55" s="4" t="str">
        <f>IF($D55="","",INDEX('02_能力差距自评'!$I:$I,MATCH($D55,'02_能力差距自评'!$F:$F,0)))</f>
        <v/>
      </c>
      <c r="M55" s="2" t="str">
        <f t="shared" si="0"/>
        <v/>
      </c>
      <c r="N55" s="2" t="str">
        <f>IF($D55="","",INDEX('02_能力差距自评'!$J:$J,MATCH($D55,'02_能力差距自评'!$F:$F,0)))</f>
        <v/>
      </c>
      <c r="O55" s="2" t="str">
        <f>IF($D55="","",INDEX('02_能力差距自评'!$K:$K,MATCH($D55,'02_能力差距自评'!$F:$F,0)))</f>
        <v/>
      </c>
      <c r="P55" s="2"/>
      <c r="Q55" s="2"/>
      <c r="R55" s="2"/>
      <c r="S55" s="8" t="str">
        <f t="shared" si="1"/>
        <v/>
      </c>
      <c r="T55" s="8"/>
      <c r="U55" s="8"/>
      <c r="V55" s="8"/>
    </row>
    <row r="56" spans="1:22" ht="13.9">
      <c r="A56" s="2" t="str">
        <f>IF($D56="","","LP"&amp;TEXT(ROWS($A$2:A56),"000"))</f>
        <v/>
      </c>
      <c r="B56" s="2" t="str">
        <f>IF($D56="","",IFERROR(INDEX('02_能力差距自评'!$Q:$Q,MATCH($D56,'02_能力差距自评'!$F:$F,0)),""))</f>
        <v/>
      </c>
      <c r="C56" s="2" t="str">
        <f>IF($D56="","",IFERROR(INDEX('02_能力差距自评'!$R:$R,MATCH($D56,'02_能力差距自评'!$F:$F,0)),""))</f>
        <v/>
      </c>
      <c r="D56" s="2" t="str">
        <f>IFERROR(INDEX('02_能力差距自评'!$F$2:$F$311,MATCH(ROWS($D$2:D56),'02_能力差距自评'!$W$2:$W$311,0)),"")</f>
        <v/>
      </c>
      <c r="E56" s="2" t="str">
        <f>IF($D56="","",INDEX('02_能力差距自评'!$G:$G,MATCH($D56,'02_能力差距自评'!$F:$F,0)))</f>
        <v/>
      </c>
      <c r="F56" s="2" t="str">
        <f>IF($D56="","",INDEX('02_能力差距自评'!$C:$C,MATCH($D56,'02_能力差距自评'!$F:$F,0)))</f>
        <v/>
      </c>
      <c r="G56" s="2" t="str">
        <f>IF($D56="","",INDEX('02_能力差距自评'!$E:$E,MATCH($D56,'02_能力差距自评'!$F:$F,0)))</f>
        <v/>
      </c>
      <c r="H56" s="2" t="str">
        <f>IF($D56="","",INDEX('02_能力差距自评'!$L:$L,MATCH($D56,'02_能力差距自评'!$F:$F,0)))</f>
        <v/>
      </c>
      <c r="I56" s="2" t="str">
        <f>IF($D56="","",INDEX('02_能力差距自评'!$M:$M,MATCH($D56,'02_能力差距自评'!$F:$F,0)))</f>
        <v/>
      </c>
      <c r="J56" s="2" t="str">
        <f>IF($D56="","",INDEX('02_能力差距自评'!$N:$N,MATCH($D56,'02_能力差距自评'!$F:$F,0)))</f>
        <v/>
      </c>
      <c r="K56" s="4" t="str">
        <f>IF($D56="","",INDEX('02_能力差距自评'!$O:$O,MATCH($D56,'02_能力差距自评'!$F:$F,0)))</f>
        <v/>
      </c>
      <c r="L56" s="4" t="str">
        <f>IF($D56="","",INDEX('02_能力差距自评'!$I:$I,MATCH($D56,'02_能力差距自评'!$F:$F,0)))</f>
        <v/>
      </c>
      <c r="M56" s="2" t="str">
        <f t="shared" si="0"/>
        <v/>
      </c>
      <c r="N56" s="2" t="str">
        <f>IF($D56="","",INDEX('02_能力差距自评'!$J:$J,MATCH($D56,'02_能力差距自评'!$F:$F,0)))</f>
        <v/>
      </c>
      <c r="O56" s="2" t="str">
        <f>IF($D56="","",INDEX('02_能力差距自评'!$K:$K,MATCH($D56,'02_能力差距自评'!$F:$F,0)))</f>
        <v/>
      </c>
      <c r="P56" s="2"/>
      <c r="Q56" s="2"/>
      <c r="R56" s="2"/>
      <c r="S56" s="8" t="str">
        <f t="shared" si="1"/>
        <v/>
      </c>
      <c r="T56" s="8"/>
      <c r="U56" s="8"/>
      <c r="V56" s="8"/>
    </row>
    <row r="57" spans="1:22" ht="13.9">
      <c r="A57" s="2" t="str">
        <f>IF($D57="","","LP"&amp;TEXT(ROWS($A$2:A57),"000"))</f>
        <v/>
      </c>
      <c r="B57" s="2" t="str">
        <f>IF($D57="","",IFERROR(INDEX('02_能力差距自评'!$Q:$Q,MATCH($D57,'02_能力差距自评'!$F:$F,0)),""))</f>
        <v/>
      </c>
      <c r="C57" s="2" t="str">
        <f>IF($D57="","",IFERROR(INDEX('02_能力差距自评'!$R:$R,MATCH($D57,'02_能力差距自评'!$F:$F,0)),""))</f>
        <v/>
      </c>
      <c r="D57" s="2" t="str">
        <f>IFERROR(INDEX('02_能力差距自评'!$F$2:$F$311,MATCH(ROWS($D$2:D57),'02_能力差距自评'!$W$2:$W$311,0)),"")</f>
        <v/>
      </c>
      <c r="E57" s="2" t="str">
        <f>IF($D57="","",INDEX('02_能力差距自评'!$G:$G,MATCH($D57,'02_能力差距自评'!$F:$F,0)))</f>
        <v/>
      </c>
      <c r="F57" s="2" t="str">
        <f>IF($D57="","",INDEX('02_能力差距自评'!$C:$C,MATCH($D57,'02_能力差距自评'!$F:$F,0)))</f>
        <v/>
      </c>
      <c r="G57" s="2" t="str">
        <f>IF($D57="","",INDEX('02_能力差距自评'!$E:$E,MATCH($D57,'02_能力差距自评'!$F:$F,0)))</f>
        <v/>
      </c>
      <c r="H57" s="2" t="str">
        <f>IF($D57="","",INDEX('02_能力差距自评'!$L:$L,MATCH($D57,'02_能力差距自评'!$F:$F,0)))</f>
        <v/>
      </c>
      <c r="I57" s="2" t="str">
        <f>IF($D57="","",INDEX('02_能力差距自评'!$M:$M,MATCH($D57,'02_能力差距自评'!$F:$F,0)))</f>
        <v/>
      </c>
      <c r="J57" s="2" t="str">
        <f>IF($D57="","",INDEX('02_能力差距自评'!$N:$N,MATCH($D57,'02_能力差距自评'!$F:$F,0)))</f>
        <v/>
      </c>
      <c r="K57" s="4" t="str">
        <f>IF($D57="","",INDEX('02_能力差距自评'!$O:$O,MATCH($D57,'02_能力差距自评'!$F:$F,0)))</f>
        <v/>
      </c>
      <c r="L57" s="4" t="str">
        <f>IF($D57="","",INDEX('02_能力差距自评'!$I:$I,MATCH($D57,'02_能力差距自评'!$F:$F,0)))</f>
        <v/>
      </c>
      <c r="M57" s="2" t="str">
        <f t="shared" si="0"/>
        <v/>
      </c>
      <c r="N57" s="2" t="str">
        <f>IF($D57="","",INDEX('02_能力差距自评'!$J:$J,MATCH($D57,'02_能力差距自评'!$F:$F,0)))</f>
        <v/>
      </c>
      <c r="O57" s="2" t="str">
        <f>IF($D57="","",INDEX('02_能力差距自评'!$K:$K,MATCH($D57,'02_能力差距自评'!$F:$F,0)))</f>
        <v/>
      </c>
      <c r="P57" s="2"/>
      <c r="Q57" s="2"/>
      <c r="R57" s="2"/>
      <c r="S57" s="8" t="str">
        <f t="shared" si="1"/>
        <v/>
      </c>
      <c r="T57" s="8"/>
      <c r="U57" s="8"/>
      <c r="V57" s="8"/>
    </row>
    <row r="58" spans="1:22" ht="13.9">
      <c r="A58" s="2" t="str">
        <f>IF($D58="","","LP"&amp;TEXT(ROWS($A$2:A58),"000"))</f>
        <v/>
      </c>
      <c r="B58" s="2" t="str">
        <f>IF($D58="","",IFERROR(INDEX('02_能力差距自评'!$Q:$Q,MATCH($D58,'02_能力差距自评'!$F:$F,0)),""))</f>
        <v/>
      </c>
      <c r="C58" s="2" t="str">
        <f>IF($D58="","",IFERROR(INDEX('02_能力差距自评'!$R:$R,MATCH($D58,'02_能力差距自评'!$F:$F,0)),""))</f>
        <v/>
      </c>
      <c r="D58" s="2" t="str">
        <f>IFERROR(INDEX('02_能力差距自评'!$F$2:$F$311,MATCH(ROWS($D$2:D58),'02_能力差距自评'!$W$2:$W$311,0)),"")</f>
        <v/>
      </c>
      <c r="E58" s="2" t="str">
        <f>IF($D58="","",INDEX('02_能力差距自评'!$G:$G,MATCH($D58,'02_能力差距自评'!$F:$F,0)))</f>
        <v/>
      </c>
      <c r="F58" s="2" t="str">
        <f>IF($D58="","",INDEX('02_能力差距自评'!$C:$C,MATCH($D58,'02_能力差距自评'!$F:$F,0)))</f>
        <v/>
      </c>
      <c r="G58" s="2" t="str">
        <f>IF($D58="","",INDEX('02_能力差距自评'!$E:$E,MATCH($D58,'02_能力差距自评'!$F:$F,0)))</f>
        <v/>
      </c>
      <c r="H58" s="2" t="str">
        <f>IF($D58="","",INDEX('02_能力差距自评'!$L:$L,MATCH($D58,'02_能力差距自评'!$F:$F,0)))</f>
        <v/>
      </c>
      <c r="I58" s="2" t="str">
        <f>IF($D58="","",INDEX('02_能力差距自评'!$M:$M,MATCH($D58,'02_能力差距自评'!$F:$F,0)))</f>
        <v/>
      </c>
      <c r="J58" s="2" t="str">
        <f>IF($D58="","",INDEX('02_能力差距自评'!$N:$N,MATCH($D58,'02_能力差距自评'!$F:$F,0)))</f>
        <v/>
      </c>
      <c r="K58" s="4" t="str">
        <f>IF($D58="","",INDEX('02_能力差距自评'!$O:$O,MATCH($D58,'02_能力差距自评'!$F:$F,0)))</f>
        <v/>
      </c>
      <c r="L58" s="4" t="str">
        <f>IF($D58="","",INDEX('02_能力差距自评'!$I:$I,MATCH($D58,'02_能力差距自评'!$F:$F,0)))</f>
        <v/>
      </c>
      <c r="M58" s="2" t="str">
        <f t="shared" si="0"/>
        <v/>
      </c>
      <c r="N58" s="2" t="str">
        <f>IF($D58="","",INDEX('02_能力差距自评'!$J:$J,MATCH($D58,'02_能力差距自评'!$F:$F,0)))</f>
        <v/>
      </c>
      <c r="O58" s="2" t="str">
        <f>IF($D58="","",INDEX('02_能力差距自评'!$K:$K,MATCH($D58,'02_能力差距自评'!$F:$F,0)))</f>
        <v/>
      </c>
      <c r="P58" s="2"/>
      <c r="Q58" s="2"/>
      <c r="R58" s="2"/>
      <c r="S58" s="8" t="str">
        <f t="shared" si="1"/>
        <v/>
      </c>
      <c r="T58" s="8"/>
      <c r="U58" s="8"/>
      <c r="V58" s="8"/>
    </row>
    <row r="59" spans="1:22" ht="13.9">
      <c r="A59" s="2" t="str">
        <f>IF($D59="","","LP"&amp;TEXT(ROWS($A$2:A59),"000"))</f>
        <v/>
      </c>
      <c r="B59" s="2" t="str">
        <f>IF($D59="","",IFERROR(INDEX('02_能力差距自评'!$Q:$Q,MATCH($D59,'02_能力差距自评'!$F:$F,0)),""))</f>
        <v/>
      </c>
      <c r="C59" s="2" t="str">
        <f>IF($D59="","",IFERROR(INDEX('02_能力差距自评'!$R:$R,MATCH($D59,'02_能力差距自评'!$F:$F,0)),""))</f>
        <v/>
      </c>
      <c r="D59" s="2" t="str">
        <f>IFERROR(INDEX('02_能力差距自评'!$F$2:$F$311,MATCH(ROWS($D$2:D59),'02_能力差距自评'!$W$2:$W$311,0)),"")</f>
        <v/>
      </c>
      <c r="E59" s="2" t="str">
        <f>IF($D59="","",INDEX('02_能力差距自评'!$G:$G,MATCH($D59,'02_能力差距自评'!$F:$F,0)))</f>
        <v/>
      </c>
      <c r="F59" s="2" t="str">
        <f>IF($D59="","",INDEX('02_能力差距自评'!$C:$C,MATCH($D59,'02_能力差距自评'!$F:$F,0)))</f>
        <v/>
      </c>
      <c r="G59" s="2" t="str">
        <f>IF($D59="","",INDEX('02_能力差距自评'!$E:$E,MATCH($D59,'02_能力差距自评'!$F:$F,0)))</f>
        <v/>
      </c>
      <c r="H59" s="2" t="str">
        <f>IF($D59="","",INDEX('02_能力差距自评'!$L:$L,MATCH($D59,'02_能力差距自评'!$F:$F,0)))</f>
        <v/>
      </c>
      <c r="I59" s="2" t="str">
        <f>IF($D59="","",INDEX('02_能力差距自评'!$M:$M,MATCH($D59,'02_能力差距自评'!$F:$F,0)))</f>
        <v/>
      </c>
      <c r="J59" s="2" t="str">
        <f>IF($D59="","",INDEX('02_能力差距自评'!$N:$N,MATCH($D59,'02_能力差距自评'!$F:$F,0)))</f>
        <v/>
      </c>
      <c r="K59" s="4" t="str">
        <f>IF($D59="","",INDEX('02_能力差距自评'!$O:$O,MATCH($D59,'02_能力差距自评'!$F:$F,0)))</f>
        <v/>
      </c>
      <c r="L59" s="4" t="str">
        <f>IF($D59="","",INDEX('02_能力差距自评'!$I:$I,MATCH($D59,'02_能力差距自评'!$F:$F,0)))</f>
        <v/>
      </c>
      <c r="M59" s="2" t="str">
        <f t="shared" si="0"/>
        <v/>
      </c>
      <c r="N59" s="2" t="str">
        <f>IF($D59="","",INDEX('02_能力差距自评'!$J:$J,MATCH($D59,'02_能力差距自评'!$F:$F,0)))</f>
        <v/>
      </c>
      <c r="O59" s="2" t="str">
        <f>IF($D59="","",INDEX('02_能力差距自评'!$K:$K,MATCH($D59,'02_能力差距自评'!$F:$F,0)))</f>
        <v/>
      </c>
      <c r="P59" s="2"/>
      <c r="Q59" s="2"/>
      <c r="R59" s="2"/>
      <c r="S59" s="8" t="str">
        <f t="shared" si="1"/>
        <v/>
      </c>
      <c r="T59" s="8"/>
      <c r="U59" s="8"/>
      <c r="V59" s="8"/>
    </row>
    <row r="60" spans="1:22" ht="13.9">
      <c r="A60" s="2" t="str">
        <f>IF($D60="","","LP"&amp;TEXT(ROWS($A$2:A60),"000"))</f>
        <v/>
      </c>
      <c r="B60" s="2" t="str">
        <f>IF($D60="","",IFERROR(INDEX('02_能力差距自评'!$Q:$Q,MATCH($D60,'02_能力差距自评'!$F:$F,0)),""))</f>
        <v/>
      </c>
      <c r="C60" s="2" t="str">
        <f>IF($D60="","",IFERROR(INDEX('02_能力差距自评'!$R:$R,MATCH($D60,'02_能力差距自评'!$F:$F,0)),""))</f>
        <v/>
      </c>
      <c r="D60" s="2" t="str">
        <f>IFERROR(INDEX('02_能力差距自评'!$F$2:$F$311,MATCH(ROWS($D$2:D60),'02_能力差距自评'!$W$2:$W$311,0)),"")</f>
        <v/>
      </c>
      <c r="E60" s="2" t="str">
        <f>IF($D60="","",INDEX('02_能力差距自评'!$G:$G,MATCH($D60,'02_能力差距自评'!$F:$F,0)))</f>
        <v/>
      </c>
      <c r="F60" s="2" t="str">
        <f>IF($D60="","",INDEX('02_能力差距自评'!$C:$C,MATCH($D60,'02_能力差距自评'!$F:$F,0)))</f>
        <v/>
      </c>
      <c r="G60" s="2" t="str">
        <f>IF($D60="","",INDEX('02_能力差距自评'!$E:$E,MATCH($D60,'02_能力差距自评'!$F:$F,0)))</f>
        <v/>
      </c>
      <c r="H60" s="2" t="str">
        <f>IF($D60="","",INDEX('02_能力差距自评'!$L:$L,MATCH($D60,'02_能力差距自评'!$F:$F,0)))</f>
        <v/>
      </c>
      <c r="I60" s="2" t="str">
        <f>IF($D60="","",INDEX('02_能力差距自评'!$M:$M,MATCH($D60,'02_能力差距自评'!$F:$F,0)))</f>
        <v/>
      </c>
      <c r="J60" s="2" t="str">
        <f>IF($D60="","",INDEX('02_能力差距自评'!$N:$N,MATCH($D60,'02_能力差距自评'!$F:$F,0)))</f>
        <v/>
      </c>
      <c r="K60" s="4" t="str">
        <f>IF($D60="","",INDEX('02_能力差距自评'!$O:$O,MATCH($D60,'02_能力差距自评'!$F:$F,0)))</f>
        <v/>
      </c>
      <c r="L60" s="4" t="str">
        <f>IF($D60="","",INDEX('02_能力差距自评'!$I:$I,MATCH($D60,'02_能力差距自评'!$F:$F,0)))</f>
        <v/>
      </c>
      <c r="M60" s="2" t="str">
        <f t="shared" si="0"/>
        <v/>
      </c>
      <c r="N60" s="2" t="str">
        <f>IF($D60="","",INDEX('02_能力差距自评'!$J:$J,MATCH($D60,'02_能力差距自评'!$F:$F,0)))</f>
        <v/>
      </c>
      <c r="O60" s="2" t="str">
        <f>IF($D60="","",INDEX('02_能力差距自评'!$K:$K,MATCH($D60,'02_能力差距自评'!$F:$F,0)))</f>
        <v/>
      </c>
      <c r="P60" s="2"/>
      <c r="Q60" s="2"/>
      <c r="R60" s="2"/>
      <c r="S60" s="8" t="str">
        <f t="shared" si="1"/>
        <v/>
      </c>
      <c r="T60" s="8"/>
      <c r="U60" s="8"/>
      <c r="V60" s="8"/>
    </row>
    <row r="61" spans="1:22" ht="13.9">
      <c r="A61" s="2" t="str">
        <f>IF($D61="","","LP"&amp;TEXT(ROWS($A$2:A61),"000"))</f>
        <v/>
      </c>
      <c r="B61" s="2" t="str">
        <f>IF($D61="","",IFERROR(INDEX('02_能力差距自评'!$Q:$Q,MATCH($D61,'02_能力差距自评'!$F:$F,0)),""))</f>
        <v/>
      </c>
      <c r="C61" s="2" t="str">
        <f>IF($D61="","",IFERROR(INDEX('02_能力差距自评'!$R:$R,MATCH($D61,'02_能力差距自评'!$F:$F,0)),""))</f>
        <v/>
      </c>
      <c r="D61" s="2" t="str">
        <f>IFERROR(INDEX('02_能力差距自评'!$F$2:$F$311,MATCH(ROWS($D$2:D61),'02_能力差距自评'!$W$2:$W$311,0)),"")</f>
        <v/>
      </c>
      <c r="E61" s="2" t="str">
        <f>IF($D61="","",INDEX('02_能力差距自评'!$G:$G,MATCH($D61,'02_能力差距自评'!$F:$F,0)))</f>
        <v/>
      </c>
      <c r="F61" s="2" t="str">
        <f>IF($D61="","",INDEX('02_能力差距自评'!$C:$C,MATCH($D61,'02_能力差距自评'!$F:$F,0)))</f>
        <v/>
      </c>
      <c r="G61" s="2" t="str">
        <f>IF($D61="","",INDEX('02_能力差距自评'!$E:$E,MATCH($D61,'02_能力差距自评'!$F:$F,0)))</f>
        <v/>
      </c>
      <c r="H61" s="2" t="str">
        <f>IF($D61="","",INDEX('02_能力差距自评'!$L:$L,MATCH($D61,'02_能力差距自评'!$F:$F,0)))</f>
        <v/>
      </c>
      <c r="I61" s="2" t="str">
        <f>IF($D61="","",INDEX('02_能力差距自评'!$M:$M,MATCH($D61,'02_能力差距自评'!$F:$F,0)))</f>
        <v/>
      </c>
      <c r="J61" s="2" t="str">
        <f>IF($D61="","",INDEX('02_能力差距自评'!$N:$N,MATCH($D61,'02_能力差距自评'!$F:$F,0)))</f>
        <v/>
      </c>
      <c r="K61" s="4" t="str">
        <f>IF($D61="","",INDEX('02_能力差距自评'!$O:$O,MATCH($D61,'02_能力差距自评'!$F:$F,0)))</f>
        <v/>
      </c>
      <c r="L61" s="4" t="str">
        <f>IF($D61="","",INDEX('02_能力差距自评'!$I:$I,MATCH($D61,'02_能力差距自评'!$F:$F,0)))</f>
        <v/>
      </c>
      <c r="M61" s="2" t="str">
        <f t="shared" si="0"/>
        <v/>
      </c>
      <c r="N61" s="2" t="str">
        <f>IF($D61="","",INDEX('02_能力差距自评'!$J:$J,MATCH($D61,'02_能力差距自评'!$F:$F,0)))</f>
        <v/>
      </c>
      <c r="O61" s="2" t="str">
        <f>IF($D61="","",INDEX('02_能力差距自评'!$K:$K,MATCH($D61,'02_能力差距自评'!$F:$F,0)))</f>
        <v/>
      </c>
      <c r="P61" s="2"/>
      <c r="Q61" s="2"/>
      <c r="R61" s="2"/>
      <c r="S61" s="8" t="str">
        <f t="shared" si="1"/>
        <v/>
      </c>
      <c r="T61" s="8"/>
      <c r="U61" s="8"/>
      <c r="V61" s="8"/>
    </row>
    <row r="62" spans="1:22" ht="13.9">
      <c r="A62" s="2" t="str">
        <f>IF($D62="","","LP"&amp;TEXT(ROWS($A$2:A62),"000"))</f>
        <v/>
      </c>
      <c r="B62" s="2" t="str">
        <f>IF($D62="","",IFERROR(INDEX('02_能力差距自评'!$Q:$Q,MATCH($D62,'02_能力差距自评'!$F:$F,0)),""))</f>
        <v/>
      </c>
      <c r="C62" s="2" t="str">
        <f>IF($D62="","",IFERROR(INDEX('02_能力差距自评'!$R:$R,MATCH($D62,'02_能力差距自评'!$F:$F,0)),""))</f>
        <v/>
      </c>
      <c r="D62" s="2" t="str">
        <f>IFERROR(INDEX('02_能力差距自评'!$F$2:$F$311,MATCH(ROWS($D$2:D62),'02_能力差距自评'!$W$2:$W$311,0)),"")</f>
        <v/>
      </c>
      <c r="E62" s="2" t="str">
        <f>IF($D62="","",INDEX('02_能力差距自评'!$G:$G,MATCH($D62,'02_能力差距自评'!$F:$F,0)))</f>
        <v/>
      </c>
      <c r="F62" s="2" t="str">
        <f>IF($D62="","",INDEX('02_能力差距自评'!$C:$C,MATCH($D62,'02_能力差距自评'!$F:$F,0)))</f>
        <v/>
      </c>
      <c r="G62" s="2" t="str">
        <f>IF($D62="","",INDEX('02_能力差距自评'!$E:$E,MATCH($D62,'02_能力差距自评'!$F:$F,0)))</f>
        <v/>
      </c>
      <c r="H62" s="2" t="str">
        <f>IF($D62="","",INDEX('02_能力差距自评'!$L:$L,MATCH($D62,'02_能力差距自评'!$F:$F,0)))</f>
        <v/>
      </c>
      <c r="I62" s="2" t="str">
        <f>IF($D62="","",INDEX('02_能力差距自评'!$M:$M,MATCH($D62,'02_能力差距自评'!$F:$F,0)))</f>
        <v/>
      </c>
      <c r="J62" s="2" t="str">
        <f>IF($D62="","",INDEX('02_能力差距自评'!$N:$N,MATCH($D62,'02_能力差距自评'!$F:$F,0)))</f>
        <v/>
      </c>
      <c r="K62" s="4" t="str">
        <f>IF($D62="","",INDEX('02_能力差距自评'!$O:$O,MATCH($D62,'02_能力差距自评'!$F:$F,0)))</f>
        <v/>
      </c>
      <c r="L62" s="4" t="str">
        <f>IF($D62="","",INDEX('02_能力差距自评'!$I:$I,MATCH($D62,'02_能力差距自评'!$F:$F,0)))</f>
        <v/>
      </c>
      <c r="M62" s="2" t="str">
        <f t="shared" si="0"/>
        <v/>
      </c>
      <c r="N62" s="2" t="str">
        <f>IF($D62="","",INDEX('02_能力差距自评'!$J:$J,MATCH($D62,'02_能力差距自评'!$F:$F,0)))</f>
        <v/>
      </c>
      <c r="O62" s="2" t="str">
        <f>IF($D62="","",INDEX('02_能力差距自评'!$K:$K,MATCH($D62,'02_能力差距自评'!$F:$F,0)))</f>
        <v/>
      </c>
      <c r="P62" s="2"/>
      <c r="Q62" s="2"/>
      <c r="R62" s="2"/>
      <c r="S62" s="8" t="str">
        <f t="shared" si="1"/>
        <v/>
      </c>
      <c r="T62" s="8"/>
      <c r="U62" s="8"/>
      <c r="V62" s="8"/>
    </row>
    <row r="63" spans="1:22" ht="13.9">
      <c r="A63" s="2" t="str">
        <f>IF($D63="","","LP"&amp;TEXT(ROWS($A$2:A63),"000"))</f>
        <v/>
      </c>
      <c r="B63" s="2" t="str">
        <f>IF($D63="","",IFERROR(INDEX('02_能力差距自评'!$Q:$Q,MATCH($D63,'02_能力差距自评'!$F:$F,0)),""))</f>
        <v/>
      </c>
      <c r="C63" s="2" t="str">
        <f>IF($D63="","",IFERROR(INDEX('02_能力差距自评'!$R:$R,MATCH($D63,'02_能力差距自评'!$F:$F,0)),""))</f>
        <v/>
      </c>
      <c r="D63" s="2" t="str">
        <f>IFERROR(INDEX('02_能力差距自评'!$F$2:$F$311,MATCH(ROWS($D$2:D63),'02_能力差距自评'!$W$2:$W$311,0)),"")</f>
        <v/>
      </c>
      <c r="E63" s="2" t="str">
        <f>IF($D63="","",INDEX('02_能力差距自评'!$G:$G,MATCH($D63,'02_能力差距自评'!$F:$F,0)))</f>
        <v/>
      </c>
      <c r="F63" s="2" t="str">
        <f>IF($D63="","",INDEX('02_能力差距自评'!$C:$C,MATCH($D63,'02_能力差距自评'!$F:$F,0)))</f>
        <v/>
      </c>
      <c r="G63" s="2" t="str">
        <f>IF($D63="","",INDEX('02_能力差距自评'!$E:$E,MATCH($D63,'02_能力差距自评'!$F:$F,0)))</f>
        <v/>
      </c>
      <c r="H63" s="2" t="str">
        <f>IF($D63="","",INDEX('02_能力差距自评'!$L:$L,MATCH($D63,'02_能力差距自评'!$F:$F,0)))</f>
        <v/>
      </c>
      <c r="I63" s="2" t="str">
        <f>IF($D63="","",INDEX('02_能力差距自评'!$M:$M,MATCH($D63,'02_能力差距自评'!$F:$F,0)))</f>
        <v/>
      </c>
      <c r="J63" s="2" t="str">
        <f>IF($D63="","",INDEX('02_能力差距自评'!$N:$N,MATCH($D63,'02_能力差距自评'!$F:$F,0)))</f>
        <v/>
      </c>
      <c r="K63" s="4" t="str">
        <f>IF($D63="","",INDEX('02_能力差距自评'!$O:$O,MATCH($D63,'02_能力差距自评'!$F:$F,0)))</f>
        <v/>
      </c>
      <c r="L63" s="4" t="str">
        <f>IF($D63="","",INDEX('02_能力差距自评'!$I:$I,MATCH($D63,'02_能力差距自评'!$F:$F,0)))</f>
        <v/>
      </c>
      <c r="M63" s="2" t="str">
        <f t="shared" si="0"/>
        <v/>
      </c>
      <c r="N63" s="2" t="str">
        <f>IF($D63="","",INDEX('02_能力差距自评'!$J:$J,MATCH($D63,'02_能力差距自评'!$F:$F,0)))</f>
        <v/>
      </c>
      <c r="O63" s="2" t="str">
        <f>IF($D63="","",INDEX('02_能力差距自评'!$K:$K,MATCH($D63,'02_能力差距自评'!$F:$F,0)))</f>
        <v/>
      </c>
      <c r="P63" s="2"/>
      <c r="Q63" s="2"/>
      <c r="R63" s="2"/>
      <c r="S63" s="8" t="str">
        <f t="shared" si="1"/>
        <v/>
      </c>
      <c r="T63" s="8"/>
      <c r="U63" s="8"/>
      <c r="V63" s="8"/>
    </row>
    <row r="64" spans="1:22" ht="13.9">
      <c r="A64" s="2" t="str">
        <f>IF($D64="","","LP"&amp;TEXT(ROWS($A$2:A64),"000"))</f>
        <v/>
      </c>
      <c r="B64" s="2" t="str">
        <f>IF($D64="","",IFERROR(INDEX('02_能力差距自评'!$Q:$Q,MATCH($D64,'02_能力差距自评'!$F:$F,0)),""))</f>
        <v/>
      </c>
      <c r="C64" s="2" t="str">
        <f>IF($D64="","",IFERROR(INDEX('02_能力差距自评'!$R:$R,MATCH($D64,'02_能力差距自评'!$F:$F,0)),""))</f>
        <v/>
      </c>
      <c r="D64" s="2" t="str">
        <f>IFERROR(INDEX('02_能力差距自评'!$F$2:$F$311,MATCH(ROWS($D$2:D64),'02_能力差距自评'!$W$2:$W$311,0)),"")</f>
        <v/>
      </c>
      <c r="E64" s="2" t="str">
        <f>IF($D64="","",INDEX('02_能力差距自评'!$G:$G,MATCH($D64,'02_能力差距自评'!$F:$F,0)))</f>
        <v/>
      </c>
      <c r="F64" s="2" t="str">
        <f>IF($D64="","",INDEX('02_能力差距自评'!$C:$C,MATCH($D64,'02_能力差距自评'!$F:$F,0)))</f>
        <v/>
      </c>
      <c r="G64" s="2" t="str">
        <f>IF($D64="","",INDEX('02_能力差距自评'!$E:$E,MATCH($D64,'02_能力差距自评'!$F:$F,0)))</f>
        <v/>
      </c>
      <c r="H64" s="2" t="str">
        <f>IF($D64="","",INDEX('02_能力差距自评'!$L:$L,MATCH($D64,'02_能力差距自评'!$F:$F,0)))</f>
        <v/>
      </c>
      <c r="I64" s="2" t="str">
        <f>IF($D64="","",INDEX('02_能力差距自评'!$M:$M,MATCH($D64,'02_能力差距自评'!$F:$F,0)))</f>
        <v/>
      </c>
      <c r="J64" s="2" t="str">
        <f>IF($D64="","",INDEX('02_能力差距自评'!$N:$N,MATCH($D64,'02_能力差距自评'!$F:$F,0)))</f>
        <v/>
      </c>
      <c r="K64" s="4" t="str">
        <f>IF($D64="","",INDEX('02_能力差距自评'!$O:$O,MATCH($D64,'02_能力差距自评'!$F:$F,0)))</f>
        <v/>
      </c>
      <c r="L64" s="4" t="str">
        <f>IF($D64="","",INDEX('02_能力差距自评'!$I:$I,MATCH($D64,'02_能力差距自评'!$F:$F,0)))</f>
        <v/>
      </c>
      <c r="M64" s="2" t="str">
        <f t="shared" si="0"/>
        <v/>
      </c>
      <c r="N64" s="2" t="str">
        <f>IF($D64="","",INDEX('02_能力差距自评'!$J:$J,MATCH($D64,'02_能力差距自评'!$F:$F,0)))</f>
        <v/>
      </c>
      <c r="O64" s="2" t="str">
        <f>IF($D64="","",INDEX('02_能力差距自评'!$K:$K,MATCH($D64,'02_能力差距自评'!$F:$F,0)))</f>
        <v/>
      </c>
      <c r="P64" s="2"/>
      <c r="Q64" s="2"/>
      <c r="R64" s="2"/>
      <c r="S64" s="8" t="str">
        <f t="shared" si="1"/>
        <v/>
      </c>
      <c r="T64" s="8"/>
      <c r="U64" s="8"/>
      <c r="V64" s="8"/>
    </row>
    <row r="65" spans="1:22" ht="13.9">
      <c r="A65" s="2" t="str">
        <f>IF($D65="","","LP"&amp;TEXT(ROWS($A$2:A65),"000"))</f>
        <v/>
      </c>
      <c r="B65" s="2" t="str">
        <f>IF($D65="","",IFERROR(INDEX('02_能力差距自评'!$Q:$Q,MATCH($D65,'02_能力差距自评'!$F:$F,0)),""))</f>
        <v/>
      </c>
      <c r="C65" s="2" t="str">
        <f>IF($D65="","",IFERROR(INDEX('02_能力差距自评'!$R:$R,MATCH($D65,'02_能力差距自评'!$F:$F,0)),""))</f>
        <v/>
      </c>
      <c r="D65" s="2" t="str">
        <f>IFERROR(INDEX('02_能力差距自评'!$F$2:$F$311,MATCH(ROWS($D$2:D65),'02_能力差距自评'!$W$2:$W$311,0)),"")</f>
        <v/>
      </c>
      <c r="E65" s="2" t="str">
        <f>IF($D65="","",INDEX('02_能力差距自评'!$G:$G,MATCH($D65,'02_能力差距自评'!$F:$F,0)))</f>
        <v/>
      </c>
      <c r="F65" s="2" t="str">
        <f>IF($D65="","",INDEX('02_能力差距自评'!$C:$C,MATCH($D65,'02_能力差距自评'!$F:$F,0)))</f>
        <v/>
      </c>
      <c r="G65" s="2" t="str">
        <f>IF($D65="","",INDEX('02_能力差距自评'!$E:$E,MATCH($D65,'02_能力差距自评'!$F:$F,0)))</f>
        <v/>
      </c>
      <c r="H65" s="2" t="str">
        <f>IF($D65="","",INDEX('02_能力差距自评'!$L:$L,MATCH($D65,'02_能力差距自评'!$F:$F,0)))</f>
        <v/>
      </c>
      <c r="I65" s="2" t="str">
        <f>IF($D65="","",INDEX('02_能力差距自评'!$M:$M,MATCH($D65,'02_能力差距自评'!$F:$F,0)))</f>
        <v/>
      </c>
      <c r="J65" s="2" t="str">
        <f>IF($D65="","",INDEX('02_能力差距自评'!$N:$N,MATCH($D65,'02_能力差距自评'!$F:$F,0)))</f>
        <v/>
      </c>
      <c r="K65" s="4" t="str">
        <f>IF($D65="","",INDEX('02_能力差距自评'!$O:$O,MATCH($D65,'02_能力差距自评'!$F:$F,0)))</f>
        <v/>
      </c>
      <c r="L65" s="4" t="str">
        <f>IF($D65="","",INDEX('02_能力差距自评'!$I:$I,MATCH($D65,'02_能力差距自评'!$F:$F,0)))</f>
        <v/>
      </c>
      <c r="M65" s="2" t="str">
        <f t="shared" si="0"/>
        <v/>
      </c>
      <c r="N65" s="2" t="str">
        <f>IF($D65="","",INDEX('02_能力差距自评'!$J:$J,MATCH($D65,'02_能力差距自评'!$F:$F,0)))</f>
        <v/>
      </c>
      <c r="O65" s="2" t="str">
        <f>IF($D65="","",INDEX('02_能力差距自评'!$K:$K,MATCH($D65,'02_能力差距自评'!$F:$F,0)))</f>
        <v/>
      </c>
      <c r="P65" s="2"/>
      <c r="Q65" s="2"/>
      <c r="R65" s="2"/>
      <c r="S65" s="8" t="str">
        <f t="shared" si="1"/>
        <v/>
      </c>
      <c r="T65" s="8"/>
      <c r="U65" s="8"/>
      <c r="V65" s="8"/>
    </row>
    <row r="66" spans="1:22" ht="13.9">
      <c r="A66" s="2" t="str">
        <f>IF($D66="","","LP"&amp;TEXT(ROWS($A$2:A66),"000"))</f>
        <v/>
      </c>
      <c r="B66" s="2" t="str">
        <f>IF($D66="","",IFERROR(INDEX('02_能力差距自评'!$Q:$Q,MATCH($D66,'02_能力差距自评'!$F:$F,0)),""))</f>
        <v/>
      </c>
      <c r="C66" s="2" t="str">
        <f>IF($D66="","",IFERROR(INDEX('02_能力差距自评'!$R:$R,MATCH($D66,'02_能力差距自评'!$F:$F,0)),""))</f>
        <v/>
      </c>
      <c r="D66" s="2" t="str">
        <f>IFERROR(INDEX('02_能力差距自评'!$F$2:$F$311,MATCH(ROWS($D$2:D66),'02_能力差距自评'!$W$2:$W$311,0)),"")</f>
        <v/>
      </c>
      <c r="E66" s="2" t="str">
        <f>IF($D66="","",INDEX('02_能力差距自评'!$G:$G,MATCH($D66,'02_能力差距自评'!$F:$F,0)))</f>
        <v/>
      </c>
      <c r="F66" s="2" t="str">
        <f>IF($D66="","",INDEX('02_能力差距自评'!$C:$C,MATCH($D66,'02_能力差距自评'!$F:$F,0)))</f>
        <v/>
      </c>
      <c r="G66" s="2" t="str">
        <f>IF($D66="","",INDEX('02_能力差距自评'!$E:$E,MATCH($D66,'02_能力差距自评'!$F:$F,0)))</f>
        <v/>
      </c>
      <c r="H66" s="2" t="str">
        <f>IF($D66="","",INDEX('02_能力差距自评'!$L:$L,MATCH($D66,'02_能力差距自评'!$F:$F,0)))</f>
        <v/>
      </c>
      <c r="I66" s="2" t="str">
        <f>IF($D66="","",INDEX('02_能力差距自评'!$M:$M,MATCH($D66,'02_能力差距自评'!$F:$F,0)))</f>
        <v/>
      </c>
      <c r="J66" s="2" t="str">
        <f>IF($D66="","",INDEX('02_能力差距自评'!$N:$N,MATCH($D66,'02_能力差距自评'!$F:$F,0)))</f>
        <v/>
      </c>
      <c r="K66" s="4" t="str">
        <f>IF($D66="","",INDEX('02_能力差距自评'!$O:$O,MATCH($D66,'02_能力差距自评'!$F:$F,0)))</f>
        <v/>
      </c>
      <c r="L66" s="4" t="str">
        <f>IF($D66="","",INDEX('02_能力差距自评'!$I:$I,MATCH($D66,'02_能力差距自评'!$F:$F,0)))</f>
        <v/>
      </c>
      <c r="M66" s="2" t="str">
        <f t="shared" ref="M66:M129" si="2">IF($D66="","",$E66)</f>
        <v/>
      </c>
      <c r="N66" s="2" t="str">
        <f>IF($D66="","",INDEX('02_能力差距自评'!$J:$J,MATCH($D66,'02_能力差距自评'!$F:$F,0)))</f>
        <v/>
      </c>
      <c r="O66" s="2" t="str">
        <f>IF($D66="","",INDEX('02_能力差距自评'!$K:$K,MATCH($D66,'02_能力差距自评'!$F:$F,0)))</f>
        <v/>
      </c>
      <c r="P66" s="2"/>
      <c r="Q66" s="2"/>
      <c r="R66" s="2"/>
      <c r="S66" s="8" t="str">
        <f t="shared" ref="S66:S129" si="3">IF($D66="","","未开始")</f>
        <v/>
      </c>
      <c r="T66" s="8"/>
      <c r="U66" s="8"/>
      <c r="V66" s="8"/>
    </row>
    <row r="67" spans="1:22" ht="13.9">
      <c r="A67" s="2" t="str">
        <f>IF($D67="","","LP"&amp;TEXT(ROWS($A$2:A67),"000"))</f>
        <v/>
      </c>
      <c r="B67" s="2" t="str">
        <f>IF($D67="","",IFERROR(INDEX('02_能力差距自评'!$Q:$Q,MATCH($D67,'02_能力差距自评'!$F:$F,0)),""))</f>
        <v/>
      </c>
      <c r="C67" s="2" t="str">
        <f>IF($D67="","",IFERROR(INDEX('02_能力差距自评'!$R:$R,MATCH($D67,'02_能力差距自评'!$F:$F,0)),""))</f>
        <v/>
      </c>
      <c r="D67" s="2" t="str">
        <f>IFERROR(INDEX('02_能力差距自评'!$F$2:$F$311,MATCH(ROWS($D$2:D67),'02_能力差距自评'!$W$2:$W$311,0)),"")</f>
        <v/>
      </c>
      <c r="E67" s="2" t="str">
        <f>IF($D67="","",INDEX('02_能力差距自评'!$G:$G,MATCH($D67,'02_能力差距自评'!$F:$F,0)))</f>
        <v/>
      </c>
      <c r="F67" s="2" t="str">
        <f>IF($D67="","",INDEX('02_能力差距自评'!$C:$C,MATCH($D67,'02_能力差距自评'!$F:$F,0)))</f>
        <v/>
      </c>
      <c r="G67" s="2" t="str">
        <f>IF($D67="","",INDEX('02_能力差距自评'!$E:$E,MATCH($D67,'02_能力差距自评'!$F:$F,0)))</f>
        <v/>
      </c>
      <c r="H67" s="2" t="str">
        <f>IF($D67="","",INDEX('02_能力差距自评'!$L:$L,MATCH($D67,'02_能力差距自评'!$F:$F,0)))</f>
        <v/>
      </c>
      <c r="I67" s="2" t="str">
        <f>IF($D67="","",INDEX('02_能力差距自评'!$M:$M,MATCH($D67,'02_能力差距自评'!$F:$F,0)))</f>
        <v/>
      </c>
      <c r="J67" s="2" t="str">
        <f>IF($D67="","",INDEX('02_能力差距自评'!$N:$N,MATCH($D67,'02_能力差距自评'!$F:$F,0)))</f>
        <v/>
      </c>
      <c r="K67" s="4" t="str">
        <f>IF($D67="","",INDEX('02_能力差距自评'!$O:$O,MATCH($D67,'02_能力差距自评'!$F:$F,0)))</f>
        <v/>
      </c>
      <c r="L67" s="4" t="str">
        <f>IF($D67="","",INDEX('02_能力差距自评'!$I:$I,MATCH($D67,'02_能力差距自评'!$F:$F,0)))</f>
        <v/>
      </c>
      <c r="M67" s="2" t="str">
        <f t="shared" si="2"/>
        <v/>
      </c>
      <c r="N67" s="2" t="str">
        <f>IF($D67="","",INDEX('02_能力差距自评'!$J:$J,MATCH($D67,'02_能力差距自评'!$F:$F,0)))</f>
        <v/>
      </c>
      <c r="O67" s="2" t="str">
        <f>IF($D67="","",INDEX('02_能力差距自评'!$K:$K,MATCH($D67,'02_能力差距自评'!$F:$F,0)))</f>
        <v/>
      </c>
      <c r="P67" s="2"/>
      <c r="Q67" s="2"/>
      <c r="R67" s="2"/>
      <c r="S67" s="8" t="str">
        <f t="shared" si="3"/>
        <v/>
      </c>
      <c r="T67" s="8"/>
      <c r="U67" s="8"/>
      <c r="V67" s="8"/>
    </row>
    <row r="68" spans="1:22" ht="13.9">
      <c r="A68" s="2" t="str">
        <f>IF($D68="","","LP"&amp;TEXT(ROWS($A$2:A68),"000"))</f>
        <v/>
      </c>
      <c r="B68" s="2" t="str">
        <f>IF($D68="","",IFERROR(INDEX('02_能力差距自评'!$Q:$Q,MATCH($D68,'02_能力差距自评'!$F:$F,0)),""))</f>
        <v/>
      </c>
      <c r="C68" s="2" t="str">
        <f>IF($D68="","",IFERROR(INDEX('02_能力差距自评'!$R:$R,MATCH($D68,'02_能力差距自评'!$F:$F,0)),""))</f>
        <v/>
      </c>
      <c r="D68" s="2" t="str">
        <f>IFERROR(INDEX('02_能力差距自评'!$F$2:$F$311,MATCH(ROWS($D$2:D68),'02_能力差距自评'!$W$2:$W$311,0)),"")</f>
        <v/>
      </c>
      <c r="E68" s="2" t="str">
        <f>IF($D68="","",INDEX('02_能力差距自评'!$G:$G,MATCH($D68,'02_能力差距自评'!$F:$F,0)))</f>
        <v/>
      </c>
      <c r="F68" s="2" t="str">
        <f>IF($D68="","",INDEX('02_能力差距自评'!$C:$C,MATCH($D68,'02_能力差距自评'!$F:$F,0)))</f>
        <v/>
      </c>
      <c r="G68" s="2" t="str">
        <f>IF($D68="","",INDEX('02_能力差距自评'!$E:$E,MATCH($D68,'02_能力差距自评'!$F:$F,0)))</f>
        <v/>
      </c>
      <c r="H68" s="2" t="str">
        <f>IF($D68="","",INDEX('02_能力差距自评'!$L:$L,MATCH($D68,'02_能力差距自评'!$F:$F,0)))</f>
        <v/>
      </c>
      <c r="I68" s="2" t="str">
        <f>IF($D68="","",INDEX('02_能力差距自评'!$M:$M,MATCH($D68,'02_能力差距自评'!$F:$F,0)))</f>
        <v/>
      </c>
      <c r="J68" s="2" t="str">
        <f>IF($D68="","",INDEX('02_能力差距自评'!$N:$N,MATCH($D68,'02_能力差距自评'!$F:$F,0)))</f>
        <v/>
      </c>
      <c r="K68" s="4" t="str">
        <f>IF($D68="","",INDEX('02_能力差距自评'!$O:$O,MATCH($D68,'02_能力差距自评'!$F:$F,0)))</f>
        <v/>
      </c>
      <c r="L68" s="4" t="str">
        <f>IF($D68="","",INDEX('02_能力差距自评'!$I:$I,MATCH($D68,'02_能力差距自评'!$F:$F,0)))</f>
        <v/>
      </c>
      <c r="M68" s="2" t="str">
        <f t="shared" si="2"/>
        <v/>
      </c>
      <c r="N68" s="2" t="str">
        <f>IF($D68="","",INDEX('02_能力差距自评'!$J:$J,MATCH($D68,'02_能力差距自评'!$F:$F,0)))</f>
        <v/>
      </c>
      <c r="O68" s="2" t="str">
        <f>IF($D68="","",INDEX('02_能力差距自评'!$K:$K,MATCH($D68,'02_能力差距自评'!$F:$F,0)))</f>
        <v/>
      </c>
      <c r="P68" s="2"/>
      <c r="Q68" s="2"/>
      <c r="R68" s="2"/>
      <c r="S68" s="8" t="str">
        <f t="shared" si="3"/>
        <v/>
      </c>
      <c r="T68" s="8"/>
      <c r="U68" s="8"/>
      <c r="V68" s="8"/>
    </row>
    <row r="69" spans="1:22" ht="13.9">
      <c r="A69" s="2" t="str">
        <f>IF($D69="","","LP"&amp;TEXT(ROWS($A$2:A69),"000"))</f>
        <v/>
      </c>
      <c r="B69" s="2" t="str">
        <f>IF($D69="","",IFERROR(INDEX('02_能力差距自评'!$Q:$Q,MATCH($D69,'02_能力差距自评'!$F:$F,0)),""))</f>
        <v/>
      </c>
      <c r="C69" s="2" t="str">
        <f>IF($D69="","",IFERROR(INDEX('02_能力差距自评'!$R:$R,MATCH($D69,'02_能力差距自评'!$F:$F,0)),""))</f>
        <v/>
      </c>
      <c r="D69" s="2" t="str">
        <f>IFERROR(INDEX('02_能力差距自评'!$F$2:$F$311,MATCH(ROWS($D$2:D69),'02_能力差距自评'!$W$2:$W$311,0)),"")</f>
        <v/>
      </c>
      <c r="E69" s="2" t="str">
        <f>IF($D69="","",INDEX('02_能力差距自评'!$G:$G,MATCH($D69,'02_能力差距自评'!$F:$F,0)))</f>
        <v/>
      </c>
      <c r="F69" s="2" t="str">
        <f>IF($D69="","",INDEX('02_能力差距自评'!$C:$C,MATCH($D69,'02_能力差距自评'!$F:$F,0)))</f>
        <v/>
      </c>
      <c r="G69" s="2" t="str">
        <f>IF($D69="","",INDEX('02_能力差距自评'!$E:$E,MATCH($D69,'02_能力差距自评'!$F:$F,0)))</f>
        <v/>
      </c>
      <c r="H69" s="2" t="str">
        <f>IF($D69="","",INDEX('02_能力差距自评'!$L:$L,MATCH($D69,'02_能力差距自评'!$F:$F,0)))</f>
        <v/>
      </c>
      <c r="I69" s="2" t="str">
        <f>IF($D69="","",INDEX('02_能力差距自评'!$M:$M,MATCH($D69,'02_能力差距自评'!$F:$F,0)))</f>
        <v/>
      </c>
      <c r="J69" s="2" t="str">
        <f>IF($D69="","",INDEX('02_能力差距自评'!$N:$N,MATCH($D69,'02_能力差距自评'!$F:$F,0)))</f>
        <v/>
      </c>
      <c r="K69" s="4" t="str">
        <f>IF($D69="","",INDEX('02_能力差距自评'!$O:$O,MATCH($D69,'02_能力差距自评'!$F:$F,0)))</f>
        <v/>
      </c>
      <c r="L69" s="4" t="str">
        <f>IF($D69="","",INDEX('02_能力差距自评'!$I:$I,MATCH($D69,'02_能力差距自评'!$F:$F,0)))</f>
        <v/>
      </c>
      <c r="M69" s="2" t="str">
        <f t="shared" si="2"/>
        <v/>
      </c>
      <c r="N69" s="2" t="str">
        <f>IF($D69="","",INDEX('02_能力差距自评'!$J:$J,MATCH($D69,'02_能力差距自评'!$F:$F,0)))</f>
        <v/>
      </c>
      <c r="O69" s="2" t="str">
        <f>IF($D69="","",INDEX('02_能力差距自评'!$K:$K,MATCH($D69,'02_能力差距自评'!$F:$F,0)))</f>
        <v/>
      </c>
      <c r="P69" s="2"/>
      <c r="Q69" s="2"/>
      <c r="R69" s="2"/>
      <c r="S69" s="8" t="str">
        <f t="shared" si="3"/>
        <v/>
      </c>
      <c r="T69" s="8"/>
      <c r="U69" s="8"/>
      <c r="V69" s="8"/>
    </row>
    <row r="70" spans="1:22" ht="13.9">
      <c r="A70" s="2" t="str">
        <f>IF($D70="","","LP"&amp;TEXT(ROWS($A$2:A70),"000"))</f>
        <v/>
      </c>
      <c r="B70" s="2" t="str">
        <f>IF($D70="","",IFERROR(INDEX('02_能力差距自评'!$Q:$Q,MATCH($D70,'02_能力差距自评'!$F:$F,0)),""))</f>
        <v/>
      </c>
      <c r="C70" s="2" t="str">
        <f>IF($D70="","",IFERROR(INDEX('02_能力差距自评'!$R:$R,MATCH($D70,'02_能力差距自评'!$F:$F,0)),""))</f>
        <v/>
      </c>
      <c r="D70" s="2" t="str">
        <f>IFERROR(INDEX('02_能力差距自评'!$F$2:$F$311,MATCH(ROWS($D$2:D70),'02_能力差距自评'!$W$2:$W$311,0)),"")</f>
        <v/>
      </c>
      <c r="E70" s="2" t="str">
        <f>IF($D70="","",INDEX('02_能力差距自评'!$G:$G,MATCH($D70,'02_能力差距自评'!$F:$F,0)))</f>
        <v/>
      </c>
      <c r="F70" s="2" t="str">
        <f>IF($D70="","",INDEX('02_能力差距自评'!$C:$C,MATCH($D70,'02_能力差距自评'!$F:$F,0)))</f>
        <v/>
      </c>
      <c r="G70" s="2" t="str">
        <f>IF($D70="","",INDEX('02_能力差距自评'!$E:$E,MATCH($D70,'02_能力差距自评'!$F:$F,0)))</f>
        <v/>
      </c>
      <c r="H70" s="2" t="str">
        <f>IF($D70="","",INDEX('02_能力差距自评'!$L:$L,MATCH($D70,'02_能力差距自评'!$F:$F,0)))</f>
        <v/>
      </c>
      <c r="I70" s="2" t="str">
        <f>IF($D70="","",INDEX('02_能力差距自评'!$M:$M,MATCH($D70,'02_能力差距自评'!$F:$F,0)))</f>
        <v/>
      </c>
      <c r="J70" s="2" t="str">
        <f>IF($D70="","",INDEX('02_能力差距自评'!$N:$N,MATCH($D70,'02_能力差距自评'!$F:$F,0)))</f>
        <v/>
      </c>
      <c r="K70" s="4" t="str">
        <f>IF($D70="","",INDEX('02_能力差距自评'!$O:$O,MATCH($D70,'02_能力差距自评'!$F:$F,0)))</f>
        <v/>
      </c>
      <c r="L70" s="4" t="str">
        <f>IF($D70="","",INDEX('02_能力差距自评'!$I:$I,MATCH($D70,'02_能力差距自评'!$F:$F,0)))</f>
        <v/>
      </c>
      <c r="M70" s="2" t="str">
        <f t="shared" si="2"/>
        <v/>
      </c>
      <c r="N70" s="2" t="str">
        <f>IF($D70="","",INDEX('02_能力差距自评'!$J:$J,MATCH($D70,'02_能力差距自评'!$F:$F,0)))</f>
        <v/>
      </c>
      <c r="O70" s="2" t="str">
        <f>IF($D70="","",INDEX('02_能力差距自评'!$K:$K,MATCH($D70,'02_能力差距自评'!$F:$F,0)))</f>
        <v/>
      </c>
      <c r="P70" s="2"/>
      <c r="Q70" s="2"/>
      <c r="R70" s="2"/>
      <c r="S70" s="8" t="str">
        <f t="shared" si="3"/>
        <v/>
      </c>
      <c r="T70" s="8"/>
      <c r="U70" s="8"/>
      <c r="V70" s="8"/>
    </row>
    <row r="71" spans="1:22" ht="13.9">
      <c r="A71" s="2" t="str">
        <f>IF($D71="","","LP"&amp;TEXT(ROWS($A$2:A71),"000"))</f>
        <v/>
      </c>
      <c r="B71" s="2" t="str">
        <f>IF($D71="","",IFERROR(INDEX('02_能力差距自评'!$Q:$Q,MATCH($D71,'02_能力差距自评'!$F:$F,0)),""))</f>
        <v/>
      </c>
      <c r="C71" s="2" t="str">
        <f>IF($D71="","",IFERROR(INDEX('02_能力差距自评'!$R:$R,MATCH($D71,'02_能力差距自评'!$F:$F,0)),""))</f>
        <v/>
      </c>
      <c r="D71" s="2" t="str">
        <f>IFERROR(INDEX('02_能力差距自评'!$F$2:$F$311,MATCH(ROWS($D$2:D71),'02_能力差距自评'!$W$2:$W$311,0)),"")</f>
        <v/>
      </c>
      <c r="E71" s="2" t="str">
        <f>IF($D71="","",INDEX('02_能力差距自评'!$G:$G,MATCH($D71,'02_能力差距自评'!$F:$F,0)))</f>
        <v/>
      </c>
      <c r="F71" s="2" t="str">
        <f>IF($D71="","",INDEX('02_能力差距自评'!$C:$C,MATCH($D71,'02_能力差距自评'!$F:$F,0)))</f>
        <v/>
      </c>
      <c r="G71" s="2" t="str">
        <f>IF($D71="","",INDEX('02_能力差距自评'!$E:$E,MATCH($D71,'02_能力差距自评'!$F:$F,0)))</f>
        <v/>
      </c>
      <c r="H71" s="2" t="str">
        <f>IF($D71="","",INDEX('02_能力差距自评'!$L:$L,MATCH($D71,'02_能力差距自评'!$F:$F,0)))</f>
        <v/>
      </c>
      <c r="I71" s="2" t="str">
        <f>IF($D71="","",INDEX('02_能力差距自评'!$M:$M,MATCH($D71,'02_能力差距自评'!$F:$F,0)))</f>
        <v/>
      </c>
      <c r="J71" s="2" t="str">
        <f>IF($D71="","",INDEX('02_能力差距自评'!$N:$N,MATCH($D71,'02_能力差距自评'!$F:$F,0)))</f>
        <v/>
      </c>
      <c r="K71" s="4" t="str">
        <f>IF($D71="","",INDEX('02_能力差距自评'!$O:$O,MATCH($D71,'02_能力差距自评'!$F:$F,0)))</f>
        <v/>
      </c>
      <c r="L71" s="4" t="str">
        <f>IF($D71="","",INDEX('02_能力差距自评'!$I:$I,MATCH($D71,'02_能力差距自评'!$F:$F,0)))</f>
        <v/>
      </c>
      <c r="M71" s="2" t="str">
        <f t="shared" si="2"/>
        <v/>
      </c>
      <c r="N71" s="2" t="str">
        <f>IF($D71="","",INDEX('02_能力差距自评'!$J:$J,MATCH($D71,'02_能力差距自评'!$F:$F,0)))</f>
        <v/>
      </c>
      <c r="O71" s="2" t="str">
        <f>IF($D71="","",INDEX('02_能力差距自评'!$K:$K,MATCH($D71,'02_能力差距自评'!$F:$F,0)))</f>
        <v/>
      </c>
      <c r="P71" s="2"/>
      <c r="Q71" s="2"/>
      <c r="R71" s="2"/>
      <c r="S71" s="8" t="str">
        <f t="shared" si="3"/>
        <v/>
      </c>
      <c r="T71" s="8"/>
      <c r="U71" s="8"/>
      <c r="V71" s="8"/>
    </row>
    <row r="72" spans="1:22" ht="13.9">
      <c r="A72" s="2" t="str">
        <f>IF($D72="","","LP"&amp;TEXT(ROWS($A$2:A72),"000"))</f>
        <v/>
      </c>
      <c r="B72" s="2" t="str">
        <f>IF($D72="","",IFERROR(INDEX('02_能力差距自评'!$Q:$Q,MATCH($D72,'02_能力差距自评'!$F:$F,0)),""))</f>
        <v/>
      </c>
      <c r="C72" s="2" t="str">
        <f>IF($D72="","",IFERROR(INDEX('02_能力差距自评'!$R:$R,MATCH($D72,'02_能力差距自评'!$F:$F,0)),""))</f>
        <v/>
      </c>
      <c r="D72" s="2" t="str">
        <f>IFERROR(INDEX('02_能力差距自评'!$F$2:$F$311,MATCH(ROWS($D$2:D72),'02_能力差距自评'!$W$2:$W$311,0)),"")</f>
        <v/>
      </c>
      <c r="E72" s="2" t="str">
        <f>IF($D72="","",INDEX('02_能力差距自评'!$G:$G,MATCH($D72,'02_能力差距自评'!$F:$F,0)))</f>
        <v/>
      </c>
      <c r="F72" s="2" t="str">
        <f>IF($D72="","",INDEX('02_能力差距自评'!$C:$C,MATCH($D72,'02_能力差距自评'!$F:$F,0)))</f>
        <v/>
      </c>
      <c r="G72" s="2" t="str">
        <f>IF($D72="","",INDEX('02_能力差距自评'!$E:$E,MATCH($D72,'02_能力差距自评'!$F:$F,0)))</f>
        <v/>
      </c>
      <c r="H72" s="2" t="str">
        <f>IF($D72="","",INDEX('02_能力差距自评'!$L:$L,MATCH($D72,'02_能力差距自评'!$F:$F,0)))</f>
        <v/>
      </c>
      <c r="I72" s="2" t="str">
        <f>IF($D72="","",INDEX('02_能力差距自评'!$M:$M,MATCH($D72,'02_能力差距自评'!$F:$F,0)))</f>
        <v/>
      </c>
      <c r="J72" s="2" t="str">
        <f>IF($D72="","",INDEX('02_能力差距自评'!$N:$N,MATCH($D72,'02_能力差距自评'!$F:$F,0)))</f>
        <v/>
      </c>
      <c r="K72" s="4" t="str">
        <f>IF($D72="","",INDEX('02_能力差距自评'!$O:$O,MATCH($D72,'02_能力差距自评'!$F:$F,0)))</f>
        <v/>
      </c>
      <c r="L72" s="4" t="str">
        <f>IF($D72="","",INDEX('02_能力差距自评'!$I:$I,MATCH($D72,'02_能力差距自评'!$F:$F,0)))</f>
        <v/>
      </c>
      <c r="M72" s="2" t="str">
        <f t="shared" si="2"/>
        <v/>
      </c>
      <c r="N72" s="2" t="str">
        <f>IF($D72="","",INDEX('02_能力差距自评'!$J:$J,MATCH($D72,'02_能力差距自评'!$F:$F,0)))</f>
        <v/>
      </c>
      <c r="O72" s="2" t="str">
        <f>IF($D72="","",INDEX('02_能力差距自评'!$K:$K,MATCH($D72,'02_能力差距自评'!$F:$F,0)))</f>
        <v/>
      </c>
      <c r="P72" s="2"/>
      <c r="Q72" s="2"/>
      <c r="R72" s="2"/>
      <c r="S72" s="8" t="str">
        <f t="shared" si="3"/>
        <v/>
      </c>
      <c r="T72" s="8"/>
      <c r="U72" s="8"/>
      <c r="V72" s="8"/>
    </row>
    <row r="73" spans="1:22" ht="13.9">
      <c r="A73" s="2" t="str">
        <f>IF($D73="","","LP"&amp;TEXT(ROWS($A$2:A73),"000"))</f>
        <v/>
      </c>
      <c r="B73" s="2" t="str">
        <f>IF($D73="","",IFERROR(INDEX('02_能力差距自评'!$Q:$Q,MATCH($D73,'02_能力差距自评'!$F:$F,0)),""))</f>
        <v/>
      </c>
      <c r="C73" s="2" t="str">
        <f>IF($D73="","",IFERROR(INDEX('02_能力差距自评'!$R:$R,MATCH($D73,'02_能力差距自评'!$F:$F,0)),""))</f>
        <v/>
      </c>
      <c r="D73" s="2" t="str">
        <f>IFERROR(INDEX('02_能力差距自评'!$F$2:$F$311,MATCH(ROWS($D$2:D73),'02_能力差距自评'!$W$2:$W$311,0)),"")</f>
        <v/>
      </c>
      <c r="E73" s="2" t="str">
        <f>IF($D73="","",INDEX('02_能力差距自评'!$G:$G,MATCH($D73,'02_能力差距自评'!$F:$F,0)))</f>
        <v/>
      </c>
      <c r="F73" s="2" t="str">
        <f>IF($D73="","",INDEX('02_能力差距自评'!$C:$C,MATCH($D73,'02_能力差距自评'!$F:$F,0)))</f>
        <v/>
      </c>
      <c r="G73" s="2" t="str">
        <f>IF($D73="","",INDEX('02_能力差距自评'!$E:$E,MATCH($D73,'02_能力差距自评'!$F:$F,0)))</f>
        <v/>
      </c>
      <c r="H73" s="2" t="str">
        <f>IF($D73="","",INDEX('02_能力差距自评'!$L:$L,MATCH($D73,'02_能力差距自评'!$F:$F,0)))</f>
        <v/>
      </c>
      <c r="I73" s="2" t="str">
        <f>IF($D73="","",INDEX('02_能力差距自评'!$M:$M,MATCH($D73,'02_能力差距自评'!$F:$F,0)))</f>
        <v/>
      </c>
      <c r="J73" s="2" t="str">
        <f>IF($D73="","",INDEX('02_能力差距自评'!$N:$N,MATCH($D73,'02_能力差距自评'!$F:$F,0)))</f>
        <v/>
      </c>
      <c r="K73" s="4" t="str">
        <f>IF($D73="","",INDEX('02_能力差距自评'!$O:$O,MATCH($D73,'02_能力差距自评'!$F:$F,0)))</f>
        <v/>
      </c>
      <c r="L73" s="4" t="str">
        <f>IF($D73="","",INDEX('02_能力差距自评'!$I:$I,MATCH($D73,'02_能力差距自评'!$F:$F,0)))</f>
        <v/>
      </c>
      <c r="M73" s="2" t="str">
        <f t="shared" si="2"/>
        <v/>
      </c>
      <c r="N73" s="2" t="str">
        <f>IF($D73="","",INDEX('02_能力差距自评'!$J:$J,MATCH($D73,'02_能力差距自评'!$F:$F,0)))</f>
        <v/>
      </c>
      <c r="O73" s="2" t="str">
        <f>IF($D73="","",INDEX('02_能力差距自评'!$K:$K,MATCH($D73,'02_能力差距自评'!$F:$F,0)))</f>
        <v/>
      </c>
      <c r="P73" s="2"/>
      <c r="Q73" s="2"/>
      <c r="R73" s="2"/>
      <c r="S73" s="8" t="str">
        <f t="shared" si="3"/>
        <v/>
      </c>
      <c r="T73" s="8"/>
      <c r="U73" s="8"/>
      <c r="V73" s="8"/>
    </row>
    <row r="74" spans="1:22" ht="13.9">
      <c r="A74" s="2" t="str">
        <f>IF($D74="","","LP"&amp;TEXT(ROWS($A$2:A74),"000"))</f>
        <v/>
      </c>
      <c r="B74" s="2" t="str">
        <f>IF($D74="","",IFERROR(INDEX('02_能力差距自评'!$Q:$Q,MATCH($D74,'02_能力差距自评'!$F:$F,0)),""))</f>
        <v/>
      </c>
      <c r="C74" s="2" t="str">
        <f>IF($D74="","",IFERROR(INDEX('02_能力差距自评'!$R:$R,MATCH($D74,'02_能力差距自评'!$F:$F,0)),""))</f>
        <v/>
      </c>
      <c r="D74" s="2" t="str">
        <f>IFERROR(INDEX('02_能力差距自评'!$F$2:$F$311,MATCH(ROWS($D$2:D74),'02_能力差距自评'!$W$2:$W$311,0)),"")</f>
        <v/>
      </c>
      <c r="E74" s="2" t="str">
        <f>IF($D74="","",INDEX('02_能力差距自评'!$G:$G,MATCH($D74,'02_能力差距自评'!$F:$F,0)))</f>
        <v/>
      </c>
      <c r="F74" s="2" t="str">
        <f>IF($D74="","",INDEX('02_能力差距自评'!$C:$C,MATCH($D74,'02_能力差距自评'!$F:$F,0)))</f>
        <v/>
      </c>
      <c r="G74" s="2" t="str">
        <f>IF($D74="","",INDEX('02_能力差距自评'!$E:$E,MATCH($D74,'02_能力差距自评'!$F:$F,0)))</f>
        <v/>
      </c>
      <c r="H74" s="2" t="str">
        <f>IF($D74="","",INDEX('02_能力差距自评'!$L:$L,MATCH($D74,'02_能力差距自评'!$F:$F,0)))</f>
        <v/>
      </c>
      <c r="I74" s="2" t="str">
        <f>IF($D74="","",INDEX('02_能力差距自评'!$M:$M,MATCH($D74,'02_能力差距自评'!$F:$F,0)))</f>
        <v/>
      </c>
      <c r="J74" s="2" t="str">
        <f>IF($D74="","",INDEX('02_能力差距自评'!$N:$N,MATCH($D74,'02_能力差距自评'!$F:$F,0)))</f>
        <v/>
      </c>
      <c r="K74" s="4" t="str">
        <f>IF($D74="","",INDEX('02_能力差距自评'!$O:$O,MATCH($D74,'02_能力差距自评'!$F:$F,0)))</f>
        <v/>
      </c>
      <c r="L74" s="4" t="str">
        <f>IF($D74="","",INDEX('02_能力差距自评'!$I:$I,MATCH($D74,'02_能力差距自评'!$F:$F,0)))</f>
        <v/>
      </c>
      <c r="M74" s="2" t="str">
        <f t="shared" si="2"/>
        <v/>
      </c>
      <c r="N74" s="2" t="str">
        <f>IF($D74="","",INDEX('02_能力差距自评'!$J:$J,MATCH($D74,'02_能力差距自评'!$F:$F,0)))</f>
        <v/>
      </c>
      <c r="O74" s="2" t="str">
        <f>IF($D74="","",INDEX('02_能力差距自评'!$K:$K,MATCH($D74,'02_能力差距自评'!$F:$F,0)))</f>
        <v/>
      </c>
      <c r="P74" s="2"/>
      <c r="Q74" s="2"/>
      <c r="R74" s="2"/>
      <c r="S74" s="8" t="str">
        <f t="shared" si="3"/>
        <v/>
      </c>
      <c r="T74" s="8"/>
      <c r="U74" s="8"/>
      <c r="V74" s="8"/>
    </row>
    <row r="75" spans="1:22" ht="13.9">
      <c r="A75" s="2" t="str">
        <f>IF($D75="","","LP"&amp;TEXT(ROWS($A$2:A75),"000"))</f>
        <v/>
      </c>
      <c r="B75" s="2" t="str">
        <f>IF($D75="","",IFERROR(INDEX('02_能力差距自评'!$Q:$Q,MATCH($D75,'02_能力差距自评'!$F:$F,0)),""))</f>
        <v/>
      </c>
      <c r="C75" s="2" t="str">
        <f>IF($D75="","",IFERROR(INDEX('02_能力差距自评'!$R:$R,MATCH($D75,'02_能力差距自评'!$F:$F,0)),""))</f>
        <v/>
      </c>
      <c r="D75" s="2" t="str">
        <f>IFERROR(INDEX('02_能力差距自评'!$F$2:$F$311,MATCH(ROWS($D$2:D75),'02_能力差距自评'!$W$2:$W$311,0)),"")</f>
        <v/>
      </c>
      <c r="E75" s="2" t="str">
        <f>IF($D75="","",INDEX('02_能力差距自评'!$G:$G,MATCH($D75,'02_能力差距自评'!$F:$F,0)))</f>
        <v/>
      </c>
      <c r="F75" s="2" t="str">
        <f>IF($D75="","",INDEX('02_能力差距自评'!$C:$C,MATCH($D75,'02_能力差距自评'!$F:$F,0)))</f>
        <v/>
      </c>
      <c r="G75" s="2" t="str">
        <f>IF($D75="","",INDEX('02_能力差距自评'!$E:$E,MATCH($D75,'02_能力差距自评'!$F:$F,0)))</f>
        <v/>
      </c>
      <c r="H75" s="2" t="str">
        <f>IF($D75="","",INDEX('02_能力差距自评'!$L:$L,MATCH($D75,'02_能力差距自评'!$F:$F,0)))</f>
        <v/>
      </c>
      <c r="I75" s="2" t="str">
        <f>IF($D75="","",INDEX('02_能力差距自评'!$M:$M,MATCH($D75,'02_能力差距自评'!$F:$F,0)))</f>
        <v/>
      </c>
      <c r="J75" s="2" t="str">
        <f>IF($D75="","",INDEX('02_能力差距自评'!$N:$N,MATCH($D75,'02_能力差距自评'!$F:$F,0)))</f>
        <v/>
      </c>
      <c r="K75" s="4" t="str">
        <f>IF($D75="","",INDEX('02_能力差距自评'!$O:$O,MATCH($D75,'02_能力差距自评'!$F:$F,0)))</f>
        <v/>
      </c>
      <c r="L75" s="4" t="str">
        <f>IF($D75="","",INDEX('02_能力差距自评'!$I:$I,MATCH($D75,'02_能力差距自评'!$F:$F,0)))</f>
        <v/>
      </c>
      <c r="M75" s="2" t="str">
        <f t="shared" si="2"/>
        <v/>
      </c>
      <c r="N75" s="2" t="str">
        <f>IF($D75="","",INDEX('02_能力差距自评'!$J:$J,MATCH($D75,'02_能力差距自评'!$F:$F,0)))</f>
        <v/>
      </c>
      <c r="O75" s="2" t="str">
        <f>IF($D75="","",INDEX('02_能力差距自评'!$K:$K,MATCH($D75,'02_能力差距自评'!$F:$F,0)))</f>
        <v/>
      </c>
      <c r="P75" s="2"/>
      <c r="Q75" s="2"/>
      <c r="R75" s="2"/>
      <c r="S75" s="8" t="str">
        <f t="shared" si="3"/>
        <v/>
      </c>
      <c r="T75" s="8"/>
      <c r="U75" s="8"/>
      <c r="V75" s="8"/>
    </row>
    <row r="76" spans="1:22" ht="13.9">
      <c r="A76" s="2" t="str">
        <f>IF($D76="","","LP"&amp;TEXT(ROWS($A$2:A76),"000"))</f>
        <v/>
      </c>
      <c r="B76" s="2" t="str">
        <f>IF($D76="","",IFERROR(INDEX('02_能力差距自评'!$Q:$Q,MATCH($D76,'02_能力差距自评'!$F:$F,0)),""))</f>
        <v/>
      </c>
      <c r="C76" s="2" t="str">
        <f>IF($D76="","",IFERROR(INDEX('02_能力差距自评'!$R:$R,MATCH($D76,'02_能力差距自评'!$F:$F,0)),""))</f>
        <v/>
      </c>
      <c r="D76" s="2" t="str">
        <f>IFERROR(INDEX('02_能力差距自评'!$F$2:$F$311,MATCH(ROWS($D$2:D76),'02_能力差距自评'!$W$2:$W$311,0)),"")</f>
        <v/>
      </c>
      <c r="E76" s="2" t="str">
        <f>IF($D76="","",INDEX('02_能力差距自评'!$G:$G,MATCH($D76,'02_能力差距自评'!$F:$F,0)))</f>
        <v/>
      </c>
      <c r="F76" s="2" t="str">
        <f>IF($D76="","",INDEX('02_能力差距自评'!$C:$C,MATCH($D76,'02_能力差距自评'!$F:$F,0)))</f>
        <v/>
      </c>
      <c r="G76" s="2" t="str">
        <f>IF($D76="","",INDEX('02_能力差距自评'!$E:$E,MATCH($D76,'02_能力差距自评'!$F:$F,0)))</f>
        <v/>
      </c>
      <c r="H76" s="2" t="str">
        <f>IF($D76="","",INDEX('02_能力差距自评'!$L:$L,MATCH($D76,'02_能力差距自评'!$F:$F,0)))</f>
        <v/>
      </c>
      <c r="I76" s="2" t="str">
        <f>IF($D76="","",INDEX('02_能力差距自评'!$M:$M,MATCH($D76,'02_能力差距自评'!$F:$F,0)))</f>
        <v/>
      </c>
      <c r="J76" s="2" t="str">
        <f>IF($D76="","",INDEX('02_能力差距自评'!$N:$N,MATCH($D76,'02_能力差距自评'!$F:$F,0)))</f>
        <v/>
      </c>
      <c r="K76" s="4" t="str">
        <f>IF($D76="","",INDEX('02_能力差距自评'!$O:$O,MATCH($D76,'02_能力差距自评'!$F:$F,0)))</f>
        <v/>
      </c>
      <c r="L76" s="4" t="str">
        <f>IF($D76="","",INDEX('02_能力差距自评'!$I:$I,MATCH($D76,'02_能力差距自评'!$F:$F,0)))</f>
        <v/>
      </c>
      <c r="M76" s="2" t="str">
        <f t="shared" si="2"/>
        <v/>
      </c>
      <c r="N76" s="2" t="str">
        <f>IF($D76="","",INDEX('02_能力差距自评'!$J:$J,MATCH($D76,'02_能力差距自评'!$F:$F,0)))</f>
        <v/>
      </c>
      <c r="O76" s="2" t="str">
        <f>IF($D76="","",INDEX('02_能力差距自评'!$K:$K,MATCH($D76,'02_能力差距自评'!$F:$F,0)))</f>
        <v/>
      </c>
      <c r="P76" s="2"/>
      <c r="Q76" s="2"/>
      <c r="R76" s="2"/>
      <c r="S76" s="8" t="str">
        <f t="shared" si="3"/>
        <v/>
      </c>
      <c r="T76" s="8"/>
      <c r="U76" s="8"/>
      <c r="V76" s="8"/>
    </row>
    <row r="77" spans="1:22" ht="13.9">
      <c r="A77" s="2" t="str">
        <f>IF($D77="","","LP"&amp;TEXT(ROWS($A$2:A77),"000"))</f>
        <v/>
      </c>
      <c r="B77" s="2" t="str">
        <f>IF($D77="","",IFERROR(INDEX('02_能力差距自评'!$Q:$Q,MATCH($D77,'02_能力差距自评'!$F:$F,0)),""))</f>
        <v/>
      </c>
      <c r="C77" s="2" t="str">
        <f>IF($D77="","",IFERROR(INDEX('02_能力差距自评'!$R:$R,MATCH($D77,'02_能力差距自评'!$F:$F,0)),""))</f>
        <v/>
      </c>
      <c r="D77" s="2" t="str">
        <f>IFERROR(INDEX('02_能力差距自评'!$F$2:$F$311,MATCH(ROWS($D$2:D77),'02_能力差距自评'!$W$2:$W$311,0)),"")</f>
        <v/>
      </c>
      <c r="E77" s="2" t="str">
        <f>IF($D77="","",INDEX('02_能力差距自评'!$G:$G,MATCH($D77,'02_能力差距自评'!$F:$F,0)))</f>
        <v/>
      </c>
      <c r="F77" s="2" t="str">
        <f>IF($D77="","",INDEX('02_能力差距自评'!$C:$C,MATCH($D77,'02_能力差距自评'!$F:$F,0)))</f>
        <v/>
      </c>
      <c r="G77" s="2" t="str">
        <f>IF($D77="","",INDEX('02_能力差距自评'!$E:$E,MATCH($D77,'02_能力差距自评'!$F:$F,0)))</f>
        <v/>
      </c>
      <c r="H77" s="2" t="str">
        <f>IF($D77="","",INDEX('02_能力差距自评'!$L:$L,MATCH($D77,'02_能力差距自评'!$F:$F,0)))</f>
        <v/>
      </c>
      <c r="I77" s="2" t="str">
        <f>IF($D77="","",INDEX('02_能力差距自评'!$M:$M,MATCH($D77,'02_能力差距自评'!$F:$F,0)))</f>
        <v/>
      </c>
      <c r="J77" s="2" t="str">
        <f>IF($D77="","",INDEX('02_能力差距自评'!$N:$N,MATCH($D77,'02_能力差距自评'!$F:$F,0)))</f>
        <v/>
      </c>
      <c r="K77" s="4" t="str">
        <f>IF($D77="","",INDEX('02_能力差距自评'!$O:$O,MATCH($D77,'02_能力差距自评'!$F:$F,0)))</f>
        <v/>
      </c>
      <c r="L77" s="4" t="str">
        <f>IF($D77="","",INDEX('02_能力差距自评'!$I:$I,MATCH($D77,'02_能力差距自评'!$F:$F,0)))</f>
        <v/>
      </c>
      <c r="M77" s="2" t="str">
        <f t="shared" si="2"/>
        <v/>
      </c>
      <c r="N77" s="2" t="str">
        <f>IF($D77="","",INDEX('02_能力差距自评'!$J:$J,MATCH($D77,'02_能力差距自评'!$F:$F,0)))</f>
        <v/>
      </c>
      <c r="O77" s="2" t="str">
        <f>IF($D77="","",INDEX('02_能力差距自评'!$K:$K,MATCH($D77,'02_能力差距自评'!$F:$F,0)))</f>
        <v/>
      </c>
      <c r="P77" s="2"/>
      <c r="Q77" s="2"/>
      <c r="R77" s="2"/>
      <c r="S77" s="8" t="str">
        <f t="shared" si="3"/>
        <v/>
      </c>
      <c r="T77" s="8"/>
      <c r="U77" s="8"/>
      <c r="V77" s="8"/>
    </row>
    <row r="78" spans="1:22" ht="13.9">
      <c r="A78" s="2" t="str">
        <f>IF($D78="","","LP"&amp;TEXT(ROWS($A$2:A78),"000"))</f>
        <v/>
      </c>
      <c r="B78" s="2" t="str">
        <f>IF($D78="","",IFERROR(INDEX('02_能力差距自评'!$Q:$Q,MATCH($D78,'02_能力差距自评'!$F:$F,0)),""))</f>
        <v/>
      </c>
      <c r="C78" s="2" t="str">
        <f>IF($D78="","",IFERROR(INDEX('02_能力差距自评'!$R:$R,MATCH($D78,'02_能力差距自评'!$F:$F,0)),""))</f>
        <v/>
      </c>
      <c r="D78" s="2" t="str">
        <f>IFERROR(INDEX('02_能力差距自评'!$F$2:$F$311,MATCH(ROWS($D$2:D78),'02_能力差距自评'!$W$2:$W$311,0)),"")</f>
        <v/>
      </c>
      <c r="E78" s="2" t="str">
        <f>IF($D78="","",INDEX('02_能力差距自评'!$G:$G,MATCH($D78,'02_能力差距自评'!$F:$F,0)))</f>
        <v/>
      </c>
      <c r="F78" s="2" t="str">
        <f>IF($D78="","",INDEX('02_能力差距自评'!$C:$C,MATCH($D78,'02_能力差距自评'!$F:$F,0)))</f>
        <v/>
      </c>
      <c r="G78" s="2" t="str">
        <f>IF($D78="","",INDEX('02_能力差距自评'!$E:$E,MATCH($D78,'02_能力差距自评'!$F:$F,0)))</f>
        <v/>
      </c>
      <c r="H78" s="2" t="str">
        <f>IF($D78="","",INDEX('02_能力差距自评'!$L:$L,MATCH($D78,'02_能力差距自评'!$F:$F,0)))</f>
        <v/>
      </c>
      <c r="I78" s="2" t="str">
        <f>IF($D78="","",INDEX('02_能力差距自评'!$M:$M,MATCH($D78,'02_能力差距自评'!$F:$F,0)))</f>
        <v/>
      </c>
      <c r="J78" s="2" t="str">
        <f>IF($D78="","",INDEX('02_能力差距自评'!$N:$N,MATCH($D78,'02_能力差距自评'!$F:$F,0)))</f>
        <v/>
      </c>
      <c r="K78" s="4" t="str">
        <f>IF($D78="","",INDEX('02_能力差距自评'!$O:$O,MATCH($D78,'02_能力差距自评'!$F:$F,0)))</f>
        <v/>
      </c>
      <c r="L78" s="4" t="str">
        <f>IF($D78="","",INDEX('02_能力差距自评'!$I:$I,MATCH($D78,'02_能力差距自评'!$F:$F,0)))</f>
        <v/>
      </c>
      <c r="M78" s="2" t="str">
        <f t="shared" si="2"/>
        <v/>
      </c>
      <c r="N78" s="2" t="str">
        <f>IF($D78="","",INDEX('02_能力差距自评'!$J:$J,MATCH($D78,'02_能力差距自评'!$F:$F,0)))</f>
        <v/>
      </c>
      <c r="O78" s="2" t="str">
        <f>IF($D78="","",INDEX('02_能力差距自评'!$K:$K,MATCH($D78,'02_能力差距自评'!$F:$F,0)))</f>
        <v/>
      </c>
      <c r="P78" s="2"/>
      <c r="Q78" s="2"/>
      <c r="R78" s="2"/>
      <c r="S78" s="8" t="str">
        <f t="shared" si="3"/>
        <v/>
      </c>
      <c r="T78" s="8"/>
      <c r="U78" s="8"/>
      <c r="V78" s="8"/>
    </row>
    <row r="79" spans="1:22" ht="13.9">
      <c r="A79" s="2" t="str">
        <f>IF($D79="","","LP"&amp;TEXT(ROWS($A$2:A79),"000"))</f>
        <v/>
      </c>
      <c r="B79" s="2" t="str">
        <f>IF($D79="","",IFERROR(INDEX('02_能力差距自评'!$Q:$Q,MATCH($D79,'02_能力差距自评'!$F:$F,0)),""))</f>
        <v/>
      </c>
      <c r="C79" s="2" t="str">
        <f>IF($D79="","",IFERROR(INDEX('02_能力差距自评'!$R:$R,MATCH($D79,'02_能力差距自评'!$F:$F,0)),""))</f>
        <v/>
      </c>
      <c r="D79" s="2" t="str">
        <f>IFERROR(INDEX('02_能力差距自评'!$F$2:$F$311,MATCH(ROWS($D$2:D79),'02_能力差距自评'!$W$2:$W$311,0)),"")</f>
        <v/>
      </c>
      <c r="E79" s="2" t="str">
        <f>IF($D79="","",INDEX('02_能力差距自评'!$G:$G,MATCH($D79,'02_能力差距自评'!$F:$F,0)))</f>
        <v/>
      </c>
      <c r="F79" s="2" t="str">
        <f>IF($D79="","",INDEX('02_能力差距自评'!$C:$C,MATCH($D79,'02_能力差距自评'!$F:$F,0)))</f>
        <v/>
      </c>
      <c r="G79" s="2" t="str">
        <f>IF($D79="","",INDEX('02_能力差距自评'!$E:$E,MATCH($D79,'02_能力差距自评'!$F:$F,0)))</f>
        <v/>
      </c>
      <c r="H79" s="2" t="str">
        <f>IF($D79="","",INDEX('02_能力差距自评'!$L:$L,MATCH($D79,'02_能力差距自评'!$F:$F,0)))</f>
        <v/>
      </c>
      <c r="I79" s="2" t="str">
        <f>IF($D79="","",INDEX('02_能力差距自评'!$M:$M,MATCH($D79,'02_能力差距自评'!$F:$F,0)))</f>
        <v/>
      </c>
      <c r="J79" s="2" t="str">
        <f>IF($D79="","",INDEX('02_能力差距自评'!$N:$N,MATCH($D79,'02_能力差距自评'!$F:$F,0)))</f>
        <v/>
      </c>
      <c r="K79" s="4" t="str">
        <f>IF($D79="","",INDEX('02_能力差距自评'!$O:$O,MATCH($D79,'02_能力差距自评'!$F:$F,0)))</f>
        <v/>
      </c>
      <c r="L79" s="4" t="str">
        <f>IF($D79="","",INDEX('02_能力差距自评'!$I:$I,MATCH($D79,'02_能力差距自评'!$F:$F,0)))</f>
        <v/>
      </c>
      <c r="M79" s="2" t="str">
        <f t="shared" si="2"/>
        <v/>
      </c>
      <c r="N79" s="2" t="str">
        <f>IF($D79="","",INDEX('02_能力差距自评'!$J:$J,MATCH($D79,'02_能力差距自评'!$F:$F,0)))</f>
        <v/>
      </c>
      <c r="O79" s="2" t="str">
        <f>IF($D79="","",INDEX('02_能力差距自评'!$K:$K,MATCH($D79,'02_能力差距自评'!$F:$F,0)))</f>
        <v/>
      </c>
      <c r="P79" s="2"/>
      <c r="Q79" s="2"/>
      <c r="R79" s="2"/>
      <c r="S79" s="8" t="str">
        <f t="shared" si="3"/>
        <v/>
      </c>
      <c r="T79" s="8"/>
      <c r="U79" s="8"/>
      <c r="V79" s="8"/>
    </row>
    <row r="80" spans="1:22" ht="13.9">
      <c r="A80" s="2" t="str">
        <f>IF($D80="","","LP"&amp;TEXT(ROWS($A$2:A80),"000"))</f>
        <v/>
      </c>
      <c r="B80" s="2" t="str">
        <f>IF($D80="","",IFERROR(INDEX('02_能力差距自评'!$Q:$Q,MATCH($D80,'02_能力差距自评'!$F:$F,0)),""))</f>
        <v/>
      </c>
      <c r="C80" s="2" t="str">
        <f>IF($D80="","",IFERROR(INDEX('02_能力差距自评'!$R:$R,MATCH($D80,'02_能力差距自评'!$F:$F,0)),""))</f>
        <v/>
      </c>
      <c r="D80" s="2" t="str">
        <f>IFERROR(INDEX('02_能力差距自评'!$F$2:$F$311,MATCH(ROWS($D$2:D80),'02_能力差距自评'!$W$2:$W$311,0)),"")</f>
        <v/>
      </c>
      <c r="E80" s="2" t="str">
        <f>IF($D80="","",INDEX('02_能力差距自评'!$G:$G,MATCH($D80,'02_能力差距自评'!$F:$F,0)))</f>
        <v/>
      </c>
      <c r="F80" s="2" t="str">
        <f>IF($D80="","",INDEX('02_能力差距自评'!$C:$C,MATCH($D80,'02_能力差距自评'!$F:$F,0)))</f>
        <v/>
      </c>
      <c r="G80" s="2" t="str">
        <f>IF($D80="","",INDEX('02_能力差距自评'!$E:$E,MATCH($D80,'02_能力差距自评'!$F:$F,0)))</f>
        <v/>
      </c>
      <c r="H80" s="2" t="str">
        <f>IF($D80="","",INDEX('02_能力差距自评'!$L:$L,MATCH($D80,'02_能力差距自评'!$F:$F,0)))</f>
        <v/>
      </c>
      <c r="I80" s="2" t="str">
        <f>IF($D80="","",INDEX('02_能力差距自评'!$M:$M,MATCH($D80,'02_能力差距自评'!$F:$F,0)))</f>
        <v/>
      </c>
      <c r="J80" s="2" t="str">
        <f>IF($D80="","",INDEX('02_能力差距自评'!$N:$N,MATCH($D80,'02_能力差距自评'!$F:$F,0)))</f>
        <v/>
      </c>
      <c r="K80" s="4" t="str">
        <f>IF($D80="","",INDEX('02_能力差距自评'!$O:$O,MATCH($D80,'02_能力差距自评'!$F:$F,0)))</f>
        <v/>
      </c>
      <c r="L80" s="4" t="str">
        <f>IF($D80="","",INDEX('02_能力差距自评'!$I:$I,MATCH($D80,'02_能力差距自评'!$F:$F,0)))</f>
        <v/>
      </c>
      <c r="M80" s="2" t="str">
        <f t="shared" si="2"/>
        <v/>
      </c>
      <c r="N80" s="2" t="str">
        <f>IF($D80="","",INDEX('02_能力差距自评'!$J:$J,MATCH($D80,'02_能力差距自评'!$F:$F,0)))</f>
        <v/>
      </c>
      <c r="O80" s="2" t="str">
        <f>IF($D80="","",INDEX('02_能力差距自评'!$K:$K,MATCH($D80,'02_能力差距自评'!$F:$F,0)))</f>
        <v/>
      </c>
      <c r="P80" s="2"/>
      <c r="Q80" s="2"/>
      <c r="R80" s="2"/>
      <c r="S80" s="8" t="str">
        <f t="shared" si="3"/>
        <v/>
      </c>
      <c r="T80" s="8"/>
      <c r="U80" s="8"/>
      <c r="V80" s="8"/>
    </row>
    <row r="81" spans="1:22" ht="13.9">
      <c r="A81" s="2" t="str">
        <f>IF($D81="","","LP"&amp;TEXT(ROWS($A$2:A81),"000"))</f>
        <v/>
      </c>
      <c r="B81" s="2" t="str">
        <f>IF($D81="","",IFERROR(INDEX('02_能力差距自评'!$Q:$Q,MATCH($D81,'02_能力差距自评'!$F:$F,0)),""))</f>
        <v/>
      </c>
      <c r="C81" s="2" t="str">
        <f>IF($D81="","",IFERROR(INDEX('02_能力差距自评'!$R:$R,MATCH($D81,'02_能力差距自评'!$F:$F,0)),""))</f>
        <v/>
      </c>
      <c r="D81" s="2" t="str">
        <f>IFERROR(INDEX('02_能力差距自评'!$F$2:$F$311,MATCH(ROWS($D$2:D81),'02_能力差距自评'!$W$2:$W$311,0)),"")</f>
        <v/>
      </c>
      <c r="E81" s="2" t="str">
        <f>IF($D81="","",INDEX('02_能力差距自评'!$G:$G,MATCH($D81,'02_能力差距自评'!$F:$F,0)))</f>
        <v/>
      </c>
      <c r="F81" s="2" t="str">
        <f>IF($D81="","",INDEX('02_能力差距自评'!$C:$C,MATCH($D81,'02_能力差距自评'!$F:$F,0)))</f>
        <v/>
      </c>
      <c r="G81" s="2" t="str">
        <f>IF($D81="","",INDEX('02_能力差距自评'!$E:$E,MATCH($D81,'02_能力差距自评'!$F:$F,0)))</f>
        <v/>
      </c>
      <c r="H81" s="2" t="str">
        <f>IF($D81="","",INDEX('02_能力差距自评'!$L:$L,MATCH($D81,'02_能力差距自评'!$F:$F,0)))</f>
        <v/>
      </c>
      <c r="I81" s="2" t="str">
        <f>IF($D81="","",INDEX('02_能力差距自评'!$M:$M,MATCH($D81,'02_能力差距自评'!$F:$F,0)))</f>
        <v/>
      </c>
      <c r="J81" s="2" t="str">
        <f>IF($D81="","",INDEX('02_能力差距自评'!$N:$N,MATCH($D81,'02_能力差距自评'!$F:$F,0)))</f>
        <v/>
      </c>
      <c r="K81" s="4" t="str">
        <f>IF($D81="","",INDEX('02_能力差距自评'!$O:$O,MATCH($D81,'02_能力差距自评'!$F:$F,0)))</f>
        <v/>
      </c>
      <c r="L81" s="4" t="str">
        <f>IF($D81="","",INDEX('02_能力差距自评'!$I:$I,MATCH($D81,'02_能力差距自评'!$F:$F,0)))</f>
        <v/>
      </c>
      <c r="M81" s="2" t="str">
        <f t="shared" si="2"/>
        <v/>
      </c>
      <c r="N81" s="2" t="str">
        <f>IF($D81="","",INDEX('02_能力差距自评'!$J:$J,MATCH($D81,'02_能力差距自评'!$F:$F,0)))</f>
        <v/>
      </c>
      <c r="O81" s="2" t="str">
        <f>IF($D81="","",INDEX('02_能力差距自评'!$K:$K,MATCH($D81,'02_能力差距自评'!$F:$F,0)))</f>
        <v/>
      </c>
      <c r="P81" s="2"/>
      <c r="Q81" s="2"/>
      <c r="R81" s="2"/>
      <c r="S81" s="8" t="str">
        <f t="shared" si="3"/>
        <v/>
      </c>
      <c r="T81" s="8"/>
      <c r="U81" s="8"/>
      <c r="V81" s="8"/>
    </row>
    <row r="82" spans="1:22" ht="13.9">
      <c r="A82" s="2" t="str">
        <f>IF($D82="","","LP"&amp;TEXT(ROWS($A$2:A82),"000"))</f>
        <v/>
      </c>
      <c r="B82" s="2" t="str">
        <f>IF($D82="","",IFERROR(INDEX('02_能力差距自评'!$Q:$Q,MATCH($D82,'02_能力差距自评'!$F:$F,0)),""))</f>
        <v/>
      </c>
      <c r="C82" s="2" t="str">
        <f>IF($D82="","",IFERROR(INDEX('02_能力差距自评'!$R:$R,MATCH($D82,'02_能力差距自评'!$F:$F,0)),""))</f>
        <v/>
      </c>
      <c r="D82" s="2" t="str">
        <f>IFERROR(INDEX('02_能力差距自评'!$F$2:$F$311,MATCH(ROWS($D$2:D82),'02_能力差距自评'!$W$2:$W$311,0)),"")</f>
        <v/>
      </c>
      <c r="E82" s="2" t="str">
        <f>IF($D82="","",INDEX('02_能力差距自评'!$G:$G,MATCH($D82,'02_能力差距自评'!$F:$F,0)))</f>
        <v/>
      </c>
      <c r="F82" s="2" t="str">
        <f>IF($D82="","",INDEX('02_能力差距自评'!$C:$C,MATCH($D82,'02_能力差距自评'!$F:$F,0)))</f>
        <v/>
      </c>
      <c r="G82" s="2" t="str">
        <f>IF($D82="","",INDEX('02_能力差距自评'!$E:$E,MATCH($D82,'02_能力差距自评'!$F:$F,0)))</f>
        <v/>
      </c>
      <c r="H82" s="2" t="str">
        <f>IF($D82="","",INDEX('02_能力差距自评'!$L:$L,MATCH($D82,'02_能力差距自评'!$F:$F,0)))</f>
        <v/>
      </c>
      <c r="I82" s="2" t="str">
        <f>IF($D82="","",INDEX('02_能力差距自评'!$M:$M,MATCH($D82,'02_能力差距自评'!$F:$F,0)))</f>
        <v/>
      </c>
      <c r="J82" s="2" t="str">
        <f>IF($D82="","",INDEX('02_能力差距自评'!$N:$N,MATCH($D82,'02_能力差距自评'!$F:$F,0)))</f>
        <v/>
      </c>
      <c r="K82" s="4" t="str">
        <f>IF($D82="","",INDEX('02_能力差距自评'!$O:$O,MATCH($D82,'02_能力差距自评'!$F:$F,0)))</f>
        <v/>
      </c>
      <c r="L82" s="4" t="str">
        <f>IF($D82="","",INDEX('02_能力差距自评'!$I:$I,MATCH($D82,'02_能力差距自评'!$F:$F,0)))</f>
        <v/>
      </c>
      <c r="M82" s="2" t="str">
        <f t="shared" si="2"/>
        <v/>
      </c>
      <c r="N82" s="2" t="str">
        <f>IF($D82="","",INDEX('02_能力差距自评'!$J:$J,MATCH($D82,'02_能力差距自评'!$F:$F,0)))</f>
        <v/>
      </c>
      <c r="O82" s="2" t="str">
        <f>IF($D82="","",INDEX('02_能力差距自评'!$K:$K,MATCH($D82,'02_能力差距自评'!$F:$F,0)))</f>
        <v/>
      </c>
      <c r="P82" s="2"/>
      <c r="Q82" s="2"/>
      <c r="R82" s="2"/>
      <c r="S82" s="8" t="str">
        <f t="shared" si="3"/>
        <v/>
      </c>
      <c r="T82" s="8"/>
      <c r="U82" s="8"/>
      <c r="V82" s="8"/>
    </row>
    <row r="83" spans="1:22" ht="13.9">
      <c r="A83" s="2" t="str">
        <f>IF($D83="","","LP"&amp;TEXT(ROWS($A$2:A83),"000"))</f>
        <v/>
      </c>
      <c r="B83" s="2" t="str">
        <f>IF($D83="","",IFERROR(INDEX('02_能力差距自评'!$Q:$Q,MATCH($D83,'02_能力差距自评'!$F:$F,0)),""))</f>
        <v/>
      </c>
      <c r="C83" s="2" t="str">
        <f>IF($D83="","",IFERROR(INDEX('02_能力差距自评'!$R:$R,MATCH($D83,'02_能力差距自评'!$F:$F,0)),""))</f>
        <v/>
      </c>
      <c r="D83" s="2" t="str">
        <f>IFERROR(INDEX('02_能力差距自评'!$F$2:$F$311,MATCH(ROWS($D$2:D83),'02_能力差距自评'!$W$2:$W$311,0)),"")</f>
        <v/>
      </c>
      <c r="E83" s="2" t="str">
        <f>IF($D83="","",INDEX('02_能力差距自评'!$G:$G,MATCH($D83,'02_能力差距自评'!$F:$F,0)))</f>
        <v/>
      </c>
      <c r="F83" s="2" t="str">
        <f>IF($D83="","",INDEX('02_能力差距自评'!$C:$C,MATCH($D83,'02_能力差距自评'!$F:$F,0)))</f>
        <v/>
      </c>
      <c r="G83" s="2" t="str">
        <f>IF($D83="","",INDEX('02_能力差距自评'!$E:$E,MATCH($D83,'02_能力差距自评'!$F:$F,0)))</f>
        <v/>
      </c>
      <c r="H83" s="2" t="str">
        <f>IF($D83="","",INDEX('02_能力差距自评'!$L:$L,MATCH($D83,'02_能力差距自评'!$F:$F,0)))</f>
        <v/>
      </c>
      <c r="I83" s="2" t="str">
        <f>IF($D83="","",INDEX('02_能力差距自评'!$M:$M,MATCH($D83,'02_能力差距自评'!$F:$F,0)))</f>
        <v/>
      </c>
      <c r="J83" s="2" t="str">
        <f>IF($D83="","",INDEX('02_能力差距自评'!$N:$N,MATCH($D83,'02_能力差距自评'!$F:$F,0)))</f>
        <v/>
      </c>
      <c r="K83" s="4" t="str">
        <f>IF($D83="","",INDEX('02_能力差距自评'!$O:$O,MATCH($D83,'02_能力差距自评'!$F:$F,0)))</f>
        <v/>
      </c>
      <c r="L83" s="4" t="str">
        <f>IF($D83="","",INDEX('02_能力差距自评'!$I:$I,MATCH($D83,'02_能力差距自评'!$F:$F,0)))</f>
        <v/>
      </c>
      <c r="M83" s="2" t="str">
        <f t="shared" si="2"/>
        <v/>
      </c>
      <c r="N83" s="2" t="str">
        <f>IF($D83="","",INDEX('02_能力差距自评'!$J:$J,MATCH($D83,'02_能力差距自评'!$F:$F,0)))</f>
        <v/>
      </c>
      <c r="O83" s="2" t="str">
        <f>IF($D83="","",INDEX('02_能力差距自评'!$K:$K,MATCH($D83,'02_能力差距自评'!$F:$F,0)))</f>
        <v/>
      </c>
      <c r="P83" s="2"/>
      <c r="Q83" s="2"/>
      <c r="R83" s="2"/>
      <c r="S83" s="8" t="str">
        <f t="shared" si="3"/>
        <v/>
      </c>
      <c r="T83" s="8"/>
      <c r="U83" s="8"/>
      <c r="V83" s="8"/>
    </row>
    <row r="84" spans="1:22" ht="13.9">
      <c r="A84" s="2" t="str">
        <f>IF($D84="","","LP"&amp;TEXT(ROWS($A$2:A84),"000"))</f>
        <v/>
      </c>
      <c r="B84" s="2" t="str">
        <f>IF($D84="","",IFERROR(INDEX('02_能力差距自评'!$Q:$Q,MATCH($D84,'02_能力差距自评'!$F:$F,0)),""))</f>
        <v/>
      </c>
      <c r="C84" s="2" t="str">
        <f>IF($D84="","",IFERROR(INDEX('02_能力差距自评'!$R:$R,MATCH($D84,'02_能力差距自评'!$F:$F,0)),""))</f>
        <v/>
      </c>
      <c r="D84" s="2" t="str">
        <f>IFERROR(INDEX('02_能力差距自评'!$F$2:$F$311,MATCH(ROWS($D$2:D84),'02_能力差距自评'!$W$2:$W$311,0)),"")</f>
        <v/>
      </c>
      <c r="E84" s="2" t="str">
        <f>IF($D84="","",INDEX('02_能力差距自评'!$G:$G,MATCH($D84,'02_能力差距自评'!$F:$F,0)))</f>
        <v/>
      </c>
      <c r="F84" s="2" t="str">
        <f>IF($D84="","",INDEX('02_能力差距自评'!$C:$C,MATCH($D84,'02_能力差距自评'!$F:$F,0)))</f>
        <v/>
      </c>
      <c r="G84" s="2" t="str">
        <f>IF($D84="","",INDEX('02_能力差距自评'!$E:$E,MATCH($D84,'02_能力差距自评'!$F:$F,0)))</f>
        <v/>
      </c>
      <c r="H84" s="2" t="str">
        <f>IF($D84="","",INDEX('02_能力差距自评'!$L:$L,MATCH($D84,'02_能力差距自评'!$F:$F,0)))</f>
        <v/>
      </c>
      <c r="I84" s="2" t="str">
        <f>IF($D84="","",INDEX('02_能力差距自评'!$M:$M,MATCH($D84,'02_能力差距自评'!$F:$F,0)))</f>
        <v/>
      </c>
      <c r="J84" s="2" t="str">
        <f>IF($D84="","",INDEX('02_能力差距自评'!$N:$N,MATCH($D84,'02_能力差距自评'!$F:$F,0)))</f>
        <v/>
      </c>
      <c r="K84" s="4" t="str">
        <f>IF($D84="","",INDEX('02_能力差距自评'!$O:$O,MATCH($D84,'02_能力差距自评'!$F:$F,0)))</f>
        <v/>
      </c>
      <c r="L84" s="4" t="str">
        <f>IF($D84="","",INDEX('02_能力差距自评'!$I:$I,MATCH($D84,'02_能力差距自评'!$F:$F,0)))</f>
        <v/>
      </c>
      <c r="M84" s="2" t="str">
        <f t="shared" si="2"/>
        <v/>
      </c>
      <c r="N84" s="2" t="str">
        <f>IF($D84="","",INDEX('02_能力差距自评'!$J:$J,MATCH($D84,'02_能力差距自评'!$F:$F,0)))</f>
        <v/>
      </c>
      <c r="O84" s="2" t="str">
        <f>IF($D84="","",INDEX('02_能力差距自评'!$K:$K,MATCH($D84,'02_能力差距自评'!$F:$F,0)))</f>
        <v/>
      </c>
      <c r="P84" s="2"/>
      <c r="Q84" s="2"/>
      <c r="R84" s="2"/>
      <c r="S84" s="8" t="str">
        <f t="shared" si="3"/>
        <v/>
      </c>
      <c r="T84" s="8"/>
      <c r="U84" s="8"/>
      <c r="V84" s="8"/>
    </row>
    <row r="85" spans="1:22" ht="13.9">
      <c r="A85" s="2" t="str">
        <f>IF($D85="","","LP"&amp;TEXT(ROWS($A$2:A85),"000"))</f>
        <v/>
      </c>
      <c r="B85" s="2" t="str">
        <f>IF($D85="","",IFERROR(INDEX('02_能力差距自评'!$Q:$Q,MATCH($D85,'02_能力差距自评'!$F:$F,0)),""))</f>
        <v/>
      </c>
      <c r="C85" s="2" t="str">
        <f>IF($D85="","",IFERROR(INDEX('02_能力差距自评'!$R:$R,MATCH($D85,'02_能力差距自评'!$F:$F,0)),""))</f>
        <v/>
      </c>
      <c r="D85" s="2" t="str">
        <f>IFERROR(INDEX('02_能力差距自评'!$F$2:$F$311,MATCH(ROWS($D$2:D85),'02_能力差距自评'!$W$2:$W$311,0)),"")</f>
        <v/>
      </c>
      <c r="E85" s="2" t="str">
        <f>IF($D85="","",INDEX('02_能力差距自评'!$G:$G,MATCH($D85,'02_能力差距自评'!$F:$F,0)))</f>
        <v/>
      </c>
      <c r="F85" s="2" t="str">
        <f>IF($D85="","",INDEX('02_能力差距自评'!$C:$C,MATCH($D85,'02_能力差距自评'!$F:$F,0)))</f>
        <v/>
      </c>
      <c r="G85" s="2" t="str">
        <f>IF($D85="","",INDEX('02_能力差距自评'!$E:$E,MATCH($D85,'02_能力差距自评'!$F:$F,0)))</f>
        <v/>
      </c>
      <c r="H85" s="2" t="str">
        <f>IF($D85="","",INDEX('02_能力差距自评'!$L:$L,MATCH($D85,'02_能力差距自评'!$F:$F,0)))</f>
        <v/>
      </c>
      <c r="I85" s="2" t="str">
        <f>IF($D85="","",INDEX('02_能力差距自评'!$M:$M,MATCH($D85,'02_能力差距自评'!$F:$F,0)))</f>
        <v/>
      </c>
      <c r="J85" s="2" t="str">
        <f>IF($D85="","",INDEX('02_能力差距自评'!$N:$N,MATCH($D85,'02_能力差距自评'!$F:$F,0)))</f>
        <v/>
      </c>
      <c r="K85" s="4" t="str">
        <f>IF($D85="","",INDEX('02_能力差距自评'!$O:$O,MATCH($D85,'02_能力差距自评'!$F:$F,0)))</f>
        <v/>
      </c>
      <c r="L85" s="4" t="str">
        <f>IF($D85="","",INDEX('02_能力差距自评'!$I:$I,MATCH($D85,'02_能力差距自评'!$F:$F,0)))</f>
        <v/>
      </c>
      <c r="M85" s="2" t="str">
        <f t="shared" si="2"/>
        <v/>
      </c>
      <c r="N85" s="2" t="str">
        <f>IF($D85="","",INDEX('02_能力差距自评'!$J:$J,MATCH($D85,'02_能力差距自评'!$F:$F,0)))</f>
        <v/>
      </c>
      <c r="O85" s="2" t="str">
        <f>IF($D85="","",INDEX('02_能力差距自评'!$K:$K,MATCH($D85,'02_能力差距自评'!$F:$F,0)))</f>
        <v/>
      </c>
      <c r="P85" s="2"/>
      <c r="Q85" s="2"/>
      <c r="R85" s="2"/>
      <c r="S85" s="8" t="str">
        <f t="shared" si="3"/>
        <v/>
      </c>
      <c r="T85" s="8"/>
      <c r="U85" s="8"/>
      <c r="V85" s="8"/>
    </row>
    <row r="86" spans="1:22" ht="13.9">
      <c r="A86" s="2" t="str">
        <f>IF($D86="","","LP"&amp;TEXT(ROWS($A$2:A86),"000"))</f>
        <v/>
      </c>
      <c r="B86" s="2" t="str">
        <f>IF($D86="","",IFERROR(INDEX('02_能力差距自评'!$Q:$Q,MATCH($D86,'02_能力差距自评'!$F:$F,0)),""))</f>
        <v/>
      </c>
      <c r="C86" s="2" t="str">
        <f>IF($D86="","",IFERROR(INDEX('02_能力差距自评'!$R:$R,MATCH($D86,'02_能力差距自评'!$F:$F,0)),""))</f>
        <v/>
      </c>
      <c r="D86" s="2" t="str">
        <f>IFERROR(INDEX('02_能力差距自评'!$F$2:$F$311,MATCH(ROWS($D$2:D86),'02_能力差距自评'!$W$2:$W$311,0)),"")</f>
        <v/>
      </c>
      <c r="E86" s="2" t="str">
        <f>IF($D86="","",INDEX('02_能力差距自评'!$G:$G,MATCH($D86,'02_能力差距自评'!$F:$F,0)))</f>
        <v/>
      </c>
      <c r="F86" s="2" t="str">
        <f>IF($D86="","",INDEX('02_能力差距自评'!$C:$C,MATCH($D86,'02_能力差距自评'!$F:$F,0)))</f>
        <v/>
      </c>
      <c r="G86" s="2" t="str">
        <f>IF($D86="","",INDEX('02_能力差距自评'!$E:$E,MATCH($D86,'02_能力差距自评'!$F:$F,0)))</f>
        <v/>
      </c>
      <c r="H86" s="2" t="str">
        <f>IF($D86="","",INDEX('02_能力差距自评'!$L:$L,MATCH($D86,'02_能力差距自评'!$F:$F,0)))</f>
        <v/>
      </c>
      <c r="I86" s="2" t="str">
        <f>IF($D86="","",INDEX('02_能力差距自评'!$M:$M,MATCH($D86,'02_能力差距自评'!$F:$F,0)))</f>
        <v/>
      </c>
      <c r="J86" s="2" t="str">
        <f>IF($D86="","",INDEX('02_能力差距自评'!$N:$N,MATCH($D86,'02_能力差距自评'!$F:$F,0)))</f>
        <v/>
      </c>
      <c r="K86" s="4" t="str">
        <f>IF($D86="","",INDEX('02_能力差距自评'!$O:$O,MATCH($D86,'02_能力差距自评'!$F:$F,0)))</f>
        <v/>
      </c>
      <c r="L86" s="4" t="str">
        <f>IF($D86="","",INDEX('02_能力差距自评'!$I:$I,MATCH($D86,'02_能力差距自评'!$F:$F,0)))</f>
        <v/>
      </c>
      <c r="M86" s="2" t="str">
        <f t="shared" si="2"/>
        <v/>
      </c>
      <c r="N86" s="2" t="str">
        <f>IF($D86="","",INDEX('02_能力差距自评'!$J:$J,MATCH($D86,'02_能力差距自评'!$F:$F,0)))</f>
        <v/>
      </c>
      <c r="O86" s="2" t="str">
        <f>IF($D86="","",INDEX('02_能力差距自评'!$K:$K,MATCH($D86,'02_能力差距自评'!$F:$F,0)))</f>
        <v/>
      </c>
      <c r="P86" s="2"/>
      <c r="Q86" s="2"/>
      <c r="R86" s="2"/>
      <c r="S86" s="8" t="str">
        <f t="shared" si="3"/>
        <v/>
      </c>
      <c r="T86" s="8"/>
      <c r="U86" s="8"/>
      <c r="V86" s="8"/>
    </row>
    <row r="87" spans="1:22" ht="13.9">
      <c r="A87" s="2" t="str">
        <f>IF($D87="","","LP"&amp;TEXT(ROWS($A$2:A87),"000"))</f>
        <v/>
      </c>
      <c r="B87" s="2" t="str">
        <f>IF($D87="","",IFERROR(INDEX('02_能力差距自评'!$Q:$Q,MATCH($D87,'02_能力差距自评'!$F:$F,0)),""))</f>
        <v/>
      </c>
      <c r="C87" s="2" t="str">
        <f>IF($D87="","",IFERROR(INDEX('02_能力差距自评'!$R:$R,MATCH($D87,'02_能力差距自评'!$F:$F,0)),""))</f>
        <v/>
      </c>
      <c r="D87" s="2" t="str">
        <f>IFERROR(INDEX('02_能力差距自评'!$F$2:$F$311,MATCH(ROWS($D$2:D87),'02_能力差距自评'!$W$2:$W$311,0)),"")</f>
        <v/>
      </c>
      <c r="E87" s="2" t="str">
        <f>IF($D87="","",INDEX('02_能力差距自评'!$G:$G,MATCH($D87,'02_能力差距自评'!$F:$F,0)))</f>
        <v/>
      </c>
      <c r="F87" s="2" t="str">
        <f>IF($D87="","",INDEX('02_能力差距自评'!$C:$C,MATCH($D87,'02_能力差距自评'!$F:$F,0)))</f>
        <v/>
      </c>
      <c r="G87" s="2" t="str">
        <f>IF($D87="","",INDEX('02_能力差距自评'!$E:$E,MATCH($D87,'02_能力差距自评'!$F:$F,0)))</f>
        <v/>
      </c>
      <c r="H87" s="2" t="str">
        <f>IF($D87="","",INDEX('02_能力差距自评'!$L:$L,MATCH($D87,'02_能力差距自评'!$F:$F,0)))</f>
        <v/>
      </c>
      <c r="I87" s="2" t="str">
        <f>IF($D87="","",INDEX('02_能力差距自评'!$M:$M,MATCH($D87,'02_能力差距自评'!$F:$F,0)))</f>
        <v/>
      </c>
      <c r="J87" s="2" t="str">
        <f>IF($D87="","",INDEX('02_能力差距自评'!$N:$N,MATCH($D87,'02_能力差距自评'!$F:$F,0)))</f>
        <v/>
      </c>
      <c r="K87" s="4" t="str">
        <f>IF($D87="","",INDEX('02_能力差距自评'!$O:$O,MATCH($D87,'02_能力差距自评'!$F:$F,0)))</f>
        <v/>
      </c>
      <c r="L87" s="4" t="str">
        <f>IF($D87="","",INDEX('02_能力差距自评'!$I:$I,MATCH($D87,'02_能力差距自评'!$F:$F,0)))</f>
        <v/>
      </c>
      <c r="M87" s="2" t="str">
        <f t="shared" si="2"/>
        <v/>
      </c>
      <c r="N87" s="2" t="str">
        <f>IF($D87="","",INDEX('02_能力差距自评'!$J:$J,MATCH($D87,'02_能力差距自评'!$F:$F,0)))</f>
        <v/>
      </c>
      <c r="O87" s="2" t="str">
        <f>IF($D87="","",INDEX('02_能力差距自评'!$K:$K,MATCH($D87,'02_能力差距自评'!$F:$F,0)))</f>
        <v/>
      </c>
      <c r="P87" s="2"/>
      <c r="Q87" s="2"/>
      <c r="R87" s="2"/>
      <c r="S87" s="8" t="str">
        <f t="shared" si="3"/>
        <v/>
      </c>
      <c r="T87" s="8"/>
      <c r="U87" s="8"/>
      <c r="V87" s="8"/>
    </row>
    <row r="88" spans="1:22" ht="13.9">
      <c r="A88" s="2" t="str">
        <f>IF($D88="","","LP"&amp;TEXT(ROWS($A$2:A88),"000"))</f>
        <v/>
      </c>
      <c r="B88" s="2" t="str">
        <f>IF($D88="","",IFERROR(INDEX('02_能力差距自评'!$Q:$Q,MATCH($D88,'02_能力差距自评'!$F:$F,0)),""))</f>
        <v/>
      </c>
      <c r="C88" s="2" t="str">
        <f>IF($D88="","",IFERROR(INDEX('02_能力差距自评'!$R:$R,MATCH($D88,'02_能力差距自评'!$F:$F,0)),""))</f>
        <v/>
      </c>
      <c r="D88" s="2" t="str">
        <f>IFERROR(INDEX('02_能力差距自评'!$F$2:$F$311,MATCH(ROWS($D$2:D88),'02_能力差距自评'!$W$2:$W$311,0)),"")</f>
        <v/>
      </c>
      <c r="E88" s="2" t="str">
        <f>IF($D88="","",INDEX('02_能力差距自评'!$G:$G,MATCH($D88,'02_能力差距自评'!$F:$F,0)))</f>
        <v/>
      </c>
      <c r="F88" s="2" t="str">
        <f>IF($D88="","",INDEX('02_能力差距自评'!$C:$C,MATCH($D88,'02_能力差距自评'!$F:$F,0)))</f>
        <v/>
      </c>
      <c r="G88" s="2" t="str">
        <f>IF($D88="","",INDEX('02_能力差距自评'!$E:$E,MATCH($D88,'02_能力差距自评'!$F:$F,0)))</f>
        <v/>
      </c>
      <c r="H88" s="2" t="str">
        <f>IF($D88="","",INDEX('02_能力差距自评'!$L:$L,MATCH($D88,'02_能力差距自评'!$F:$F,0)))</f>
        <v/>
      </c>
      <c r="I88" s="2" t="str">
        <f>IF($D88="","",INDEX('02_能力差距自评'!$M:$M,MATCH($D88,'02_能力差距自评'!$F:$F,0)))</f>
        <v/>
      </c>
      <c r="J88" s="2" t="str">
        <f>IF($D88="","",INDEX('02_能力差距自评'!$N:$N,MATCH($D88,'02_能力差距自评'!$F:$F,0)))</f>
        <v/>
      </c>
      <c r="K88" s="4" t="str">
        <f>IF($D88="","",INDEX('02_能力差距自评'!$O:$O,MATCH($D88,'02_能力差距自评'!$F:$F,0)))</f>
        <v/>
      </c>
      <c r="L88" s="4" t="str">
        <f>IF($D88="","",INDEX('02_能力差距自评'!$I:$I,MATCH($D88,'02_能力差距自评'!$F:$F,0)))</f>
        <v/>
      </c>
      <c r="M88" s="2" t="str">
        <f t="shared" si="2"/>
        <v/>
      </c>
      <c r="N88" s="2" t="str">
        <f>IF($D88="","",INDEX('02_能力差距自评'!$J:$J,MATCH($D88,'02_能力差距自评'!$F:$F,0)))</f>
        <v/>
      </c>
      <c r="O88" s="2" t="str">
        <f>IF($D88="","",INDEX('02_能力差距自评'!$K:$K,MATCH($D88,'02_能力差距自评'!$F:$F,0)))</f>
        <v/>
      </c>
      <c r="P88" s="2"/>
      <c r="Q88" s="2"/>
      <c r="R88" s="2"/>
      <c r="S88" s="8" t="str">
        <f t="shared" si="3"/>
        <v/>
      </c>
      <c r="T88" s="8"/>
      <c r="U88" s="8"/>
      <c r="V88" s="8"/>
    </row>
    <row r="89" spans="1:22" ht="13.9">
      <c r="A89" s="2" t="str">
        <f>IF($D89="","","LP"&amp;TEXT(ROWS($A$2:A89),"000"))</f>
        <v/>
      </c>
      <c r="B89" s="2" t="str">
        <f>IF($D89="","",IFERROR(INDEX('02_能力差距自评'!$Q:$Q,MATCH($D89,'02_能力差距自评'!$F:$F,0)),""))</f>
        <v/>
      </c>
      <c r="C89" s="2" t="str">
        <f>IF($D89="","",IFERROR(INDEX('02_能力差距自评'!$R:$R,MATCH($D89,'02_能力差距自评'!$F:$F,0)),""))</f>
        <v/>
      </c>
      <c r="D89" s="2" t="str">
        <f>IFERROR(INDEX('02_能力差距自评'!$F$2:$F$311,MATCH(ROWS($D$2:D89),'02_能力差距自评'!$W$2:$W$311,0)),"")</f>
        <v/>
      </c>
      <c r="E89" s="2" t="str">
        <f>IF($D89="","",INDEX('02_能力差距自评'!$G:$G,MATCH($D89,'02_能力差距自评'!$F:$F,0)))</f>
        <v/>
      </c>
      <c r="F89" s="2" t="str">
        <f>IF($D89="","",INDEX('02_能力差距自评'!$C:$C,MATCH($D89,'02_能力差距自评'!$F:$F,0)))</f>
        <v/>
      </c>
      <c r="G89" s="2" t="str">
        <f>IF($D89="","",INDEX('02_能力差距自评'!$E:$E,MATCH($D89,'02_能力差距自评'!$F:$F,0)))</f>
        <v/>
      </c>
      <c r="H89" s="2" t="str">
        <f>IF($D89="","",INDEX('02_能力差距自评'!$L:$L,MATCH($D89,'02_能力差距自评'!$F:$F,0)))</f>
        <v/>
      </c>
      <c r="I89" s="2" t="str">
        <f>IF($D89="","",INDEX('02_能力差距自评'!$M:$M,MATCH($D89,'02_能力差距自评'!$F:$F,0)))</f>
        <v/>
      </c>
      <c r="J89" s="2" t="str">
        <f>IF($D89="","",INDEX('02_能力差距自评'!$N:$N,MATCH($D89,'02_能力差距自评'!$F:$F,0)))</f>
        <v/>
      </c>
      <c r="K89" s="4" t="str">
        <f>IF($D89="","",INDEX('02_能力差距自评'!$O:$O,MATCH($D89,'02_能力差距自评'!$F:$F,0)))</f>
        <v/>
      </c>
      <c r="L89" s="4" t="str">
        <f>IF($D89="","",INDEX('02_能力差距自评'!$I:$I,MATCH($D89,'02_能力差距自评'!$F:$F,0)))</f>
        <v/>
      </c>
      <c r="M89" s="2" t="str">
        <f t="shared" si="2"/>
        <v/>
      </c>
      <c r="N89" s="2" t="str">
        <f>IF($D89="","",INDEX('02_能力差距自评'!$J:$J,MATCH($D89,'02_能力差距自评'!$F:$F,0)))</f>
        <v/>
      </c>
      <c r="O89" s="2" t="str">
        <f>IF($D89="","",INDEX('02_能力差距自评'!$K:$K,MATCH($D89,'02_能力差距自评'!$F:$F,0)))</f>
        <v/>
      </c>
      <c r="P89" s="2"/>
      <c r="Q89" s="2"/>
      <c r="R89" s="2"/>
      <c r="S89" s="8" t="str">
        <f t="shared" si="3"/>
        <v/>
      </c>
      <c r="T89" s="8"/>
      <c r="U89" s="8"/>
      <c r="V89" s="8"/>
    </row>
    <row r="90" spans="1:22" ht="13.9">
      <c r="A90" s="2" t="str">
        <f>IF($D90="","","LP"&amp;TEXT(ROWS($A$2:A90),"000"))</f>
        <v/>
      </c>
      <c r="B90" s="2" t="str">
        <f>IF($D90="","",IFERROR(INDEX('02_能力差距自评'!$Q:$Q,MATCH($D90,'02_能力差距自评'!$F:$F,0)),""))</f>
        <v/>
      </c>
      <c r="C90" s="2" t="str">
        <f>IF($D90="","",IFERROR(INDEX('02_能力差距自评'!$R:$R,MATCH($D90,'02_能力差距自评'!$F:$F,0)),""))</f>
        <v/>
      </c>
      <c r="D90" s="2" t="str">
        <f>IFERROR(INDEX('02_能力差距自评'!$F$2:$F$311,MATCH(ROWS($D$2:D90),'02_能力差距自评'!$W$2:$W$311,0)),"")</f>
        <v/>
      </c>
      <c r="E90" s="2" t="str">
        <f>IF($D90="","",INDEX('02_能力差距自评'!$G:$G,MATCH($D90,'02_能力差距自评'!$F:$F,0)))</f>
        <v/>
      </c>
      <c r="F90" s="2" t="str">
        <f>IF($D90="","",INDEX('02_能力差距自评'!$C:$C,MATCH($D90,'02_能力差距自评'!$F:$F,0)))</f>
        <v/>
      </c>
      <c r="G90" s="2" t="str">
        <f>IF($D90="","",INDEX('02_能力差距自评'!$E:$E,MATCH($D90,'02_能力差距自评'!$F:$F,0)))</f>
        <v/>
      </c>
      <c r="H90" s="2" t="str">
        <f>IF($D90="","",INDEX('02_能力差距自评'!$L:$L,MATCH($D90,'02_能力差距自评'!$F:$F,0)))</f>
        <v/>
      </c>
      <c r="I90" s="2" t="str">
        <f>IF($D90="","",INDEX('02_能力差距自评'!$M:$M,MATCH($D90,'02_能力差距自评'!$F:$F,0)))</f>
        <v/>
      </c>
      <c r="J90" s="2" t="str">
        <f>IF($D90="","",INDEX('02_能力差距自评'!$N:$N,MATCH($D90,'02_能力差距自评'!$F:$F,0)))</f>
        <v/>
      </c>
      <c r="K90" s="4" t="str">
        <f>IF($D90="","",INDEX('02_能力差距自评'!$O:$O,MATCH($D90,'02_能力差距自评'!$F:$F,0)))</f>
        <v/>
      </c>
      <c r="L90" s="4" t="str">
        <f>IF($D90="","",INDEX('02_能力差距自评'!$I:$I,MATCH($D90,'02_能力差距自评'!$F:$F,0)))</f>
        <v/>
      </c>
      <c r="M90" s="2" t="str">
        <f t="shared" si="2"/>
        <v/>
      </c>
      <c r="N90" s="2" t="str">
        <f>IF($D90="","",INDEX('02_能力差距自评'!$J:$J,MATCH($D90,'02_能力差距自评'!$F:$F,0)))</f>
        <v/>
      </c>
      <c r="O90" s="2" t="str">
        <f>IF($D90="","",INDEX('02_能力差距自评'!$K:$K,MATCH($D90,'02_能力差距自评'!$F:$F,0)))</f>
        <v/>
      </c>
      <c r="P90" s="2"/>
      <c r="Q90" s="2"/>
      <c r="R90" s="2"/>
      <c r="S90" s="8" t="str">
        <f t="shared" si="3"/>
        <v/>
      </c>
      <c r="T90" s="8"/>
      <c r="U90" s="8"/>
      <c r="V90" s="8"/>
    </row>
    <row r="91" spans="1:22" ht="13.9">
      <c r="A91" s="2" t="str">
        <f>IF($D91="","","LP"&amp;TEXT(ROWS($A$2:A91),"000"))</f>
        <v/>
      </c>
      <c r="B91" s="2" t="str">
        <f>IF($D91="","",IFERROR(INDEX('02_能力差距自评'!$Q:$Q,MATCH($D91,'02_能力差距自评'!$F:$F,0)),""))</f>
        <v/>
      </c>
      <c r="C91" s="2" t="str">
        <f>IF($D91="","",IFERROR(INDEX('02_能力差距自评'!$R:$R,MATCH($D91,'02_能力差距自评'!$F:$F,0)),""))</f>
        <v/>
      </c>
      <c r="D91" s="2" t="str">
        <f>IFERROR(INDEX('02_能力差距自评'!$F$2:$F$311,MATCH(ROWS($D$2:D91),'02_能力差距自评'!$W$2:$W$311,0)),"")</f>
        <v/>
      </c>
      <c r="E91" s="2" t="str">
        <f>IF($D91="","",INDEX('02_能力差距自评'!$G:$G,MATCH($D91,'02_能力差距自评'!$F:$F,0)))</f>
        <v/>
      </c>
      <c r="F91" s="2" t="str">
        <f>IF($D91="","",INDEX('02_能力差距自评'!$C:$C,MATCH($D91,'02_能力差距自评'!$F:$F,0)))</f>
        <v/>
      </c>
      <c r="G91" s="2" t="str">
        <f>IF($D91="","",INDEX('02_能力差距自评'!$E:$E,MATCH($D91,'02_能力差距自评'!$F:$F,0)))</f>
        <v/>
      </c>
      <c r="H91" s="2" t="str">
        <f>IF($D91="","",INDEX('02_能力差距自评'!$L:$L,MATCH($D91,'02_能力差距自评'!$F:$F,0)))</f>
        <v/>
      </c>
      <c r="I91" s="2" t="str">
        <f>IF($D91="","",INDEX('02_能力差距自评'!$M:$M,MATCH($D91,'02_能力差距自评'!$F:$F,0)))</f>
        <v/>
      </c>
      <c r="J91" s="2" t="str">
        <f>IF($D91="","",INDEX('02_能力差距自评'!$N:$N,MATCH($D91,'02_能力差距自评'!$F:$F,0)))</f>
        <v/>
      </c>
      <c r="K91" s="4" t="str">
        <f>IF($D91="","",INDEX('02_能力差距自评'!$O:$O,MATCH($D91,'02_能力差距自评'!$F:$F,0)))</f>
        <v/>
      </c>
      <c r="L91" s="4" t="str">
        <f>IF($D91="","",INDEX('02_能力差距自评'!$I:$I,MATCH($D91,'02_能力差距自评'!$F:$F,0)))</f>
        <v/>
      </c>
      <c r="M91" s="2" t="str">
        <f t="shared" si="2"/>
        <v/>
      </c>
      <c r="N91" s="2" t="str">
        <f>IF($D91="","",INDEX('02_能力差距自评'!$J:$J,MATCH($D91,'02_能力差距自评'!$F:$F,0)))</f>
        <v/>
      </c>
      <c r="O91" s="2" t="str">
        <f>IF($D91="","",INDEX('02_能力差距自评'!$K:$K,MATCH($D91,'02_能力差距自评'!$F:$F,0)))</f>
        <v/>
      </c>
      <c r="P91" s="2"/>
      <c r="Q91" s="2"/>
      <c r="R91" s="2"/>
      <c r="S91" s="8" t="str">
        <f t="shared" si="3"/>
        <v/>
      </c>
      <c r="T91" s="8"/>
      <c r="U91" s="8"/>
      <c r="V91" s="8"/>
    </row>
    <row r="92" spans="1:22" ht="13.9">
      <c r="A92" s="2" t="str">
        <f>IF($D92="","","LP"&amp;TEXT(ROWS($A$2:A92),"000"))</f>
        <v/>
      </c>
      <c r="B92" s="2" t="str">
        <f>IF($D92="","",IFERROR(INDEX('02_能力差距自评'!$Q:$Q,MATCH($D92,'02_能力差距自评'!$F:$F,0)),""))</f>
        <v/>
      </c>
      <c r="C92" s="2" t="str">
        <f>IF($D92="","",IFERROR(INDEX('02_能力差距自评'!$R:$R,MATCH($D92,'02_能力差距自评'!$F:$F,0)),""))</f>
        <v/>
      </c>
      <c r="D92" s="2" t="str">
        <f>IFERROR(INDEX('02_能力差距自评'!$F$2:$F$311,MATCH(ROWS($D$2:D92),'02_能力差距自评'!$W$2:$W$311,0)),"")</f>
        <v/>
      </c>
      <c r="E92" s="2" t="str">
        <f>IF($D92="","",INDEX('02_能力差距自评'!$G:$G,MATCH($D92,'02_能力差距自评'!$F:$F,0)))</f>
        <v/>
      </c>
      <c r="F92" s="2" t="str">
        <f>IF($D92="","",INDEX('02_能力差距自评'!$C:$C,MATCH($D92,'02_能力差距自评'!$F:$F,0)))</f>
        <v/>
      </c>
      <c r="G92" s="2" t="str">
        <f>IF($D92="","",INDEX('02_能力差距自评'!$E:$E,MATCH($D92,'02_能力差距自评'!$F:$F,0)))</f>
        <v/>
      </c>
      <c r="H92" s="2" t="str">
        <f>IF($D92="","",INDEX('02_能力差距自评'!$L:$L,MATCH($D92,'02_能力差距自评'!$F:$F,0)))</f>
        <v/>
      </c>
      <c r="I92" s="2" t="str">
        <f>IF($D92="","",INDEX('02_能力差距自评'!$M:$M,MATCH($D92,'02_能力差距自评'!$F:$F,0)))</f>
        <v/>
      </c>
      <c r="J92" s="2" t="str">
        <f>IF($D92="","",INDEX('02_能力差距自评'!$N:$N,MATCH($D92,'02_能力差距自评'!$F:$F,0)))</f>
        <v/>
      </c>
      <c r="K92" s="4" t="str">
        <f>IF($D92="","",INDEX('02_能力差距自评'!$O:$O,MATCH($D92,'02_能力差距自评'!$F:$F,0)))</f>
        <v/>
      </c>
      <c r="L92" s="4" t="str">
        <f>IF($D92="","",INDEX('02_能力差距自评'!$I:$I,MATCH($D92,'02_能力差距自评'!$F:$F,0)))</f>
        <v/>
      </c>
      <c r="M92" s="2" t="str">
        <f t="shared" si="2"/>
        <v/>
      </c>
      <c r="N92" s="2" t="str">
        <f>IF($D92="","",INDEX('02_能力差距自评'!$J:$J,MATCH($D92,'02_能力差距自评'!$F:$F,0)))</f>
        <v/>
      </c>
      <c r="O92" s="2" t="str">
        <f>IF($D92="","",INDEX('02_能力差距自评'!$K:$K,MATCH($D92,'02_能力差距自评'!$F:$F,0)))</f>
        <v/>
      </c>
      <c r="P92" s="2"/>
      <c r="Q92" s="2"/>
      <c r="R92" s="2"/>
      <c r="S92" s="8" t="str">
        <f t="shared" si="3"/>
        <v/>
      </c>
      <c r="T92" s="8"/>
      <c r="U92" s="8"/>
      <c r="V92" s="8"/>
    </row>
    <row r="93" spans="1:22" ht="13.9">
      <c r="A93" s="2" t="str">
        <f>IF($D93="","","LP"&amp;TEXT(ROWS($A$2:A93),"000"))</f>
        <v/>
      </c>
      <c r="B93" s="2" t="str">
        <f>IF($D93="","",IFERROR(INDEX('02_能力差距自评'!$Q:$Q,MATCH($D93,'02_能力差距自评'!$F:$F,0)),""))</f>
        <v/>
      </c>
      <c r="C93" s="2" t="str">
        <f>IF($D93="","",IFERROR(INDEX('02_能力差距自评'!$R:$R,MATCH($D93,'02_能力差距自评'!$F:$F,0)),""))</f>
        <v/>
      </c>
      <c r="D93" s="2" t="str">
        <f>IFERROR(INDEX('02_能力差距自评'!$F$2:$F$311,MATCH(ROWS($D$2:D93),'02_能力差距自评'!$W$2:$W$311,0)),"")</f>
        <v/>
      </c>
      <c r="E93" s="2" t="str">
        <f>IF($D93="","",INDEX('02_能力差距自评'!$G:$G,MATCH($D93,'02_能力差距自评'!$F:$F,0)))</f>
        <v/>
      </c>
      <c r="F93" s="2" t="str">
        <f>IF($D93="","",INDEX('02_能力差距自评'!$C:$C,MATCH($D93,'02_能力差距自评'!$F:$F,0)))</f>
        <v/>
      </c>
      <c r="G93" s="2" t="str">
        <f>IF($D93="","",INDEX('02_能力差距自评'!$E:$E,MATCH($D93,'02_能力差距自评'!$F:$F,0)))</f>
        <v/>
      </c>
      <c r="H93" s="2" t="str">
        <f>IF($D93="","",INDEX('02_能力差距自评'!$L:$L,MATCH($D93,'02_能力差距自评'!$F:$F,0)))</f>
        <v/>
      </c>
      <c r="I93" s="2" t="str">
        <f>IF($D93="","",INDEX('02_能力差距自评'!$M:$M,MATCH($D93,'02_能力差距自评'!$F:$F,0)))</f>
        <v/>
      </c>
      <c r="J93" s="2" t="str">
        <f>IF($D93="","",INDEX('02_能力差距自评'!$N:$N,MATCH($D93,'02_能力差距自评'!$F:$F,0)))</f>
        <v/>
      </c>
      <c r="K93" s="4" t="str">
        <f>IF($D93="","",INDEX('02_能力差距自评'!$O:$O,MATCH($D93,'02_能力差距自评'!$F:$F,0)))</f>
        <v/>
      </c>
      <c r="L93" s="4" t="str">
        <f>IF($D93="","",INDEX('02_能力差距自评'!$I:$I,MATCH($D93,'02_能力差距自评'!$F:$F,0)))</f>
        <v/>
      </c>
      <c r="M93" s="2" t="str">
        <f t="shared" si="2"/>
        <v/>
      </c>
      <c r="N93" s="2" t="str">
        <f>IF($D93="","",INDEX('02_能力差距自评'!$J:$J,MATCH($D93,'02_能力差距自评'!$F:$F,0)))</f>
        <v/>
      </c>
      <c r="O93" s="2" t="str">
        <f>IF($D93="","",INDEX('02_能力差距自评'!$K:$K,MATCH($D93,'02_能力差距自评'!$F:$F,0)))</f>
        <v/>
      </c>
      <c r="P93" s="2"/>
      <c r="Q93" s="2"/>
      <c r="R93" s="2"/>
      <c r="S93" s="8" t="str">
        <f t="shared" si="3"/>
        <v/>
      </c>
      <c r="T93" s="8"/>
      <c r="U93" s="8"/>
      <c r="V93" s="8"/>
    </row>
    <row r="94" spans="1:22" ht="13.9">
      <c r="A94" s="2" t="str">
        <f>IF($D94="","","LP"&amp;TEXT(ROWS($A$2:A94),"000"))</f>
        <v/>
      </c>
      <c r="B94" s="2" t="str">
        <f>IF($D94="","",IFERROR(INDEX('02_能力差距自评'!$Q:$Q,MATCH($D94,'02_能力差距自评'!$F:$F,0)),""))</f>
        <v/>
      </c>
      <c r="C94" s="2" t="str">
        <f>IF($D94="","",IFERROR(INDEX('02_能力差距自评'!$R:$R,MATCH($D94,'02_能力差距自评'!$F:$F,0)),""))</f>
        <v/>
      </c>
      <c r="D94" s="2" t="str">
        <f>IFERROR(INDEX('02_能力差距自评'!$F$2:$F$311,MATCH(ROWS($D$2:D94),'02_能力差距自评'!$W$2:$W$311,0)),"")</f>
        <v/>
      </c>
      <c r="E94" s="2" t="str">
        <f>IF($D94="","",INDEX('02_能力差距自评'!$G:$G,MATCH($D94,'02_能力差距自评'!$F:$F,0)))</f>
        <v/>
      </c>
      <c r="F94" s="2" t="str">
        <f>IF($D94="","",INDEX('02_能力差距自评'!$C:$C,MATCH($D94,'02_能力差距自评'!$F:$F,0)))</f>
        <v/>
      </c>
      <c r="G94" s="2" t="str">
        <f>IF($D94="","",INDEX('02_能力差距自评'!$E:$E,MATCH($D94,'02_能力差距自评'!$F:$F,0)))</f>
        <v/>
      </c>
      <c r="H94" s="2" t="str">
        <f>IF($D94="","",INDEX('02_能力差距自评'!$L:$L,MATCH($D94,'02_能力差距自评'!$F:$F,0)))</f>
        <v/>
      </c>
      <c r="I94" s="2" t="str">
        <f>IF($D94="","",INDEX('02_能力差距自评'!$M:$M,MATCH($D94,'02_能力差距自评'!$F:$F,0)))</f>
        <v/>
      </c>
      <c r="J94" s="2" t="str">
        <f>IF($D94="","",INDEX('02_能力差距自评'!$N:$N,MATCH($D94,'02_能力差距自评'!$F:$F,0)))</f>
        <v/>
      </c>
      <c r="K94" s="4" t="str">
        <f>IF($D94="","",INDEX('02_能力差距自评'!$O:$O,MATCH($D94,'02_能力差距自评'!$F:$F,0)))</f>
        <v/>
      </c>
      <c r="L94" s="4" t="str">
        <f>IF($D94="","",INDEX('02_能力差距自评'!$I:$I,MATCH($D94,'02_能力差距自评'!$F:$F,0)))</f>
        <v/>
      </c>
      <c r="M94" s="2" t="str">
        <f t="shared" si="2"/>
        <v/>
      </c>
      <c r="N94" s="2" t="str">
        <f>IF($D94="","",INDEX('02_能力差距自评'!$J:$J,MATCH($D94,'02_能力差距自评'!$F:$F,0)))</f>
        <v/>
      </c>
      <c r="O94" s="2" t="str">
        <f>IF($D94="","",INDEX('02_能力差距自评'!$K:$K,MATCH($D94,'02_能力差距自评'!$F:$F,0)))</f>
        <v/>
      </c>
      <c r="P94" s="2"/>
      <c r="Q94" s="2"/>
      <c r="R94" s="2"/>
      <c r="S94" s="8" t="str">
        <f t="shared" si="3"/>
        <v/>
      </c>
      <c r="T94" s="8"/>
      <c r="U94" s="8"/>
      <c r="V94" s="8"/>
    </row>
    <row r="95" spans="1:22" ht="13.9">
      <c r="A95" s="2" t="str">
        <f>IF($D95="","","LP"&amp;TEXT(ROWS($A$2:A95),"000"))</f>
        <v/>
      </c>
      <c r="B95" s="2" t="str">
        <f>IF($D95="","",IFERROR(INDEX('02_能力差距自评'!$Q:$Q,MATCH($D95,'02_能力差距自评'!$F:$F,0)),""))</f>
        <v/>
      </c>
      <c r="C95" s="2" t="str">
        <f>IF($D95="","",IFERROR(INDEX('02_能力差距自评'!$R:$R,MATCH($D95,'02_能力差距自评'!$F:$F,0)),""))</f>
        <v/>
      </c>
      <c r="D95" s="2" t="str">
        <f>IFERROR(INDEX('02_能力差距自评'!$F$2:$F$311,MATCH(ROWS($D$2:D95),'02_能力差距自评'!$W$2:$W$311,0)),"")</f>
        <v/>
      </c>
      <c r="E95" s="2" t="str">
        <f>IF($D95="","",INDEX('02_能力差距自评'!$G:$G,MATCH($D95,'02_能力差距自评'!$F:$F,0)))</f>
        <v/>
      </c>
      <c r="F95" s="2" t="str">
        <f>IF($D95="","",INDEX('02_能力差距自评'!$C:$C,MATCH($D95,'02_能力差距自评'!$F:$F,0)))</f>
        <v/>
      </c>
      <c r="G95" s="2" t="str">
        <f>IF($D95="","",INDEX('02_能力差距自评'!$E:$E,MATCH($D95,'02_能力差距自评'!$F:$F,0)))</f>
        <v/>
      </c>
      <c r="H95" s="2" t="str">
        <f>IF($D95="","",INDEX('02_能力差距自评'!$L:$L,MATCH($D95,'02_能力差距自评'!$F:$F,0)))</f>
        <v/>
      </c>
      <c r="I95" s="2" t="str">
        <f>IF($D95="","",INDEX('02_能力差距自评'!$M:$M,MATCH($D95,'02_能力差距自评'!$F:$F,0)))</f>
        <v/>
      </c>
      <c r="J95" s="2" t="str">
        <f>IF($D95="","",INDEX('02_能力差距自评'!$N:$N,MATCH($D95,'02_能力差距自评'!$F:$F,0)))</f>
        <v/>
      </c>
      <c r="K95" s="4" t="str">
        <f>IF($D95="","",INDEX('02_能力差距自评'!$O:$O,MATCH($D95,'02_能力差距自评'!$F:$F,0)))</f>
        <v/>
      </c>
      <c r="L95" s="4" t="str">
        <f>IF($D95="","",INDEX('02_能力差距自评'!$I:$I,MATCH($D95,'02_能力差距自评'!$F:$F,0)))</f>
        <v/>
      </c>
      <c r="M95" s="2" t="str">
        <f t="shared" si="2"/>
        <v/>
      </c>
      <c r="N95" s="2" t="str">
        <f>IF($D95="","",INDEX('02_能力差距自评'!$J:$J,MATCH($D95,'02_能力差距自评'!$F:$F,0)))</f>
        <v/>
      </c>
      <c r="O95" s="2" t="str">
        <f>IF($D95="","",INDEX('02_能力差距自评'!$K:$K,MATCH($D95,'02_能力差距自评'!$F:$F,0)))</f>
        <v/>
      </c>
      <c r="P95" s="2"/>
      <c r="Q95" s="2"/>
      <c r="R95" s="2"/>
      <c r="S95" s="8" t="str">
        <f t="shared" si="3"/>
        <v/>
      </c>
      <c r="T95" s="8"/>
      <c r="U95" s="8"/>
      <c r="V95" s="8"/>
    </row>
    <row r="96" spans="1:22" ht="13.9">
      <c r="A96" s="2" t="str">
        <f>IF($D96="","","LP"&amp;TEXT(ROWS($A$2:A96),"000"))</f>
        <v/>
      </c>
      <c r="B96" s="2" t="str">
        <f>IF($D96="","",IFERROR(INDEX('02_能力差距自评'!$Q:$Q,MATCH($D96,'02_能力差距自评'!$F:$F,0)),""))</f>
        <v/>
      </c>
      <c r="C96" s="2" t="str">
        <f>IF($D96="","",IFERROR(INDEX('02_能力差距自评'!$R:$R,MATCH($D96,'02_能力差距自评'!$F:$F,0)),""))</f>
        <v/>
      </c>
      <c r="D96" s="2" t="str">
        <f>IFERROR(INDEX('02_能力差距自评'!$F$2:$F$311,MATCH(ROWS($D$2:D96),'02_能力差距自评'!$W$2:$W$311,0)),"")</f>
        <v/>
      </c>
      <c r="E96" s="2" t="str">
        <f>IF($D96="","",INDEX('02_能力差距自评'!$G:$G,MATCH($D96,'02_能力差距自评'!$F:$F,0)))</f>
        <v/>
      </c>
      <c r="F96" s="2" t="str">
        <f>IF($D96="","",INDEX('02_能力差距自评'!$C:$C,MATCH($D96,'02_能力差距自评'!$F:$F,0)))</f>
        <v/>
      </c>
      <c r="G96" s="2" t="str">
        <f>IF($D96="","",INDEX('02_能力差距自评'!$E:$E,MATCH($D96,'02_能力差距自评'!$F:$F,0)))</f>
        <v/>
      </c>
      <c r="H96" s="2" t="str">
        <f>IF($D96="","",INDEX('02_能力差距自评'!$L:$L,MATCH($D96,'02_能力差距自评'!$F:$F,0)))</f>
        <v/>
      </c>
      <c r="I96" s="2" t="str">
        <f>IF($D96="","",INDEX('02_能力差距自评'!$M:$M,MATCH($D96,'02_能力差距自评'!$F:$F,0)))</f>
        <v/>
      </c>
      <c r="J96" s="2" t="str">
        <f>IF($D96="","",INDEX('02_能力差距自评'!$N:$N,MATCH($D96,'02_能力差距自评'!$F:$F,0)))</f>
        <v/>
      </c>
      <c r="K96" s="4" t="str">
        <f>IF($D96="","",INDEX('02_能力差距自评'!$O:$O,MATCH($D96,'02_能力差距自评'!$F:$F,0)))</f>
        <v/>
      </c>
      <c r="L96" s="4" t="str">
        <f>IF($D96="","",INDEX('02_能力差距自评'!$I:$I,MATCH($D96,'02_能力差距自评'!$F:$F,0)))</f>
        <v/>
      </c>
      <c r="M96" s="2" t="str">
        <f t="shared" si="2"/>
        <v/>
      </c>
      <c r="N96" s="2" t="str">
        <f>IF($D96="","",INDEX('02_能力差距自评'!$J:$J,MATCH($D96,'02_能力差距自评'!$F:$F,0)))</f>
        <v/>
      </c>
      <c r="O96" s="2" t="str">
        <f>IF($D96="","",INDEX('02_能力差距自评'!$K:$K,MATCH($D96,'02_能力差距自评'!$F:$F,0)))</f>
        <v/>
      </c>
      <c r="P96" s="2"/>
      <c r="Q96" s="2"/>
      <c r="R96" s="2"/>
      <c r="S96" s="8" t="str">
        <f t="shared" si="3"/>
        <v/>
      </c>
      <c r="T96" s="8"/>
      <c r="U96" s="8"/>
      <c r="V96" s="8"/>
    </row>
    <row r="97" spans="1:22" ht="13.9">
      <c r="A97" s="2" t="str">
        <f>IF($D97="","","LP"&amp;TEXT(ROWS($A$2:A97),"000"))</f>
        <v/>
      </c>
      <c r="B97" s="2" t="str">
        <f>IF($D97="","",IFERROR(INDEX('02_能力差距自评'!$Q:$Q,MATCH($D97,'02_能力差距自评'!$F:$F,0)),""))</f>
        <v/>
      </c>
      <c r="C97" s="2" t="str">
        <f>IF($D97="","",IFERROR(INDEX('02_能力差距自评'!$R:$R,MATCH($D97,'02_能力差距自评'!$F:$F,0)),""))</f>
        <v/>
      </c>
      <c r="D97" s="2" t="str">
        <f>IFERROR(INDEX('02_能力差距自评'!$F$2:$F$311,MATCH(ROWS($D$2:D97),'02_能力差距自评'!$W$2:$W$311,0)),"")</f>
        <v/>
      </c>
      <c r="E97" s="2" t="str">
        <f>IF($D97="","",INDEX('02_能力差距自评'!$G:$G,MATCH($D97,'02_能力差距自评'!$F:$F,0)))</f>
        <v/>
      </c>
      <c r="F97" s="2" t="str">
        <f>IF($D97="","",INDEX('02_能力差距自评'!$C:$C,MATCH($D97,'02_能力差距自评'!$F:$F,0)))</f>
        <v/>
      </c>
      <c r="G97" s="2" t="str">
        <f>IF($D97="","",INDEX('02_能力差距自评'!$E:$E,MATCH($D97,'02_能力差距自评'!$F:$F,0)))</f>
        <v/>
      </c>
      <c r="H97" s="2" t="str">
        <f>IF($D97="","",INDEX('02_能力差距自评'!$L:$L,MATCH($D97,'02_能力差距自评'!$F:$F,0)))</f>
        <v/>
      </c>
      <c r="I97" s="2" t="str">
        <f>IF($D97="","",INDEX('02_能力差距自评'!$M:$M,MATCH($D97,'02_能力差距自评'!$F:$F,0)))</f>
        <v/>
      </c>
      <c r="J97" s="2" t="str">
        <f>IF($D97="","",INDEX('02_能力差距自评'!$N:$N,MATCH($D97,'02_能力差距自评'!$F:$F,0)))</f>
        <v/>
      </c>
      <c r="K97" s="4" t="str">
        <f>IF($D97="","",INDEX('02_能力差距自评'!$O:$O,MATCH($D97,'02_能力差距自评'!$F:$F,0)))</f>
        <v/>
      </c>
      <c r="L97" s="4" t="str">
        <f>IF($D97="","",INDEX('02_能力差距自评'!$I:$I,MATCH($D97,'02_能力差距自评'!$F:$F,0)))</f>
        <v/>
      </c>
      <c r="M97" s="2" t="str">
        <f t="shared" si="2"/>
        <v/>
      </c>
      <c r="N97" s="2" t="str">
        <f>IF($D97="","",INDEX('02_能力差距自评'!$J:$J,MATCH($D97,'02_能力差距自评'!$F:$F,0)))</f>
        <v/>
      </c>
      <c r="O97" s="2" t="str">
        <f>IF($D97="","",INDEX('02_能力差距自评'!$K:$K,MATCH($D97,'02_能力差距自评'!$F:$F,0)))</f>
        <v/>
      </c>
      <c r="P97" s="2"/>
      <c r="Q97" s="2"/>
      <c r="R97" s="2"/>
      <c r="S97" s="8" t="str">
        <f t="shared" si="3"/>
        <v/>
      </c>
      <c r="T97" s="8"/>
      <c r="U97" s="8"/>
      <c r="V97" s="8"/>
    </row>
    <row r="98" spans="1:22" ht="13.9">
      <c r="A98" s="2" t="str">
        <f>IF($D98="","","LP"&amp;TEXT(ROWS($A$2:A98),"000"))</f>
        <v/>
      </c>
      <c r="B98" s="2" t="str">
        <f>IF($D98="","",IFERROR(INDEX('02_能力差距自评'!$Q:$Q,MATCH($D98,'02_能力差距自评'!$F:$F,0)),""))</f>
        <v/>
      </c>
      <c r="C98" s="2" t="str">
        <f>IF($D98="","",IFERROR(INDEX('02_能力差距自评'!$R:$R,MATCH($D98,'02_能力差距自评'!$F:$F,0)),""))</f>
        <v/>
      </c>
      <c r="D98" s="2" t="str">
        <f>IFERROR(INDEX('02_能力差距自评'!$F$2:$F$311,MATCH(ROWS($D$2:D98),'02_能力差距自评'!$W$2:$W$311,0)),"")</f>
        <v/>
      </c>
      <c r="E98" s="2" t="str">
        <f>IF($D98="","",INDEX('02_能力差距自评'!$G:$G,MATCH($D98,'02_能力差距自评'!$F:$F,0)))</f>
        <v/>
      </c>
      <c r="F98" s="2" t="str">
        <f>IF($D98="","",INDEX('02_能力差距自评'!$C:$C,MATCH($D98,'02_能力差距自评'!$F:$F,0)))</f>
        <v/>
      </c>
      <c r="G98" s="2" t="str">
        <f>IF($D98="","",INDEX('02_能力差距自评'!$E:$E,MATCH($D98,'02_能力差距自评'!$F:$F,0)))</f>
        <v/>
      </c>
      <c r="H98" s="2" t="str">
        <f>IF($D98="","",INDEX('02_能力差距自评'!$L:$L,MATCH($D98,'02_能力差距自评'!$F:$F,0)))</f>
        <v/>
      </c>
      <c r="I98" s="2" t="str">
        <f>IF($D98="","",INDEX('02_能力差距自评'!$M:$M,MATCH($D98,'02_能力差距自评'!$F:$F,0)))</f>
        <v/>
      </c>
      <c r="J98" s="2" t="str">
        <f>IF($D98="","",INDEX('02_能力差距自评'!$N:$N,MATCH($D98,'02_能力差距自评'!$F:$F,0)))</f>
        <v/>
      </c>
      <c r="K98" s="4" t="str">
        <f>IF($D98="","",INDEX('02_能力差距自评'!$O:$O,MATCH($D98,'02_能力差距自评'!$F:$F,0)))</f>
        <v/>
      </c>
      <c r="L98" s="4" t="str">
        <f>IF($D98="","",INDEX('02_能力差距自评'!$I:$I,MATCH($D98,'02_能力差距自评'!$F:$F,0)))</f>
        <v/>
      </c>
      <c r="M98" s="2" t="str">
        <f t="shared" si="2"/>
        <v/>
      </c>
      <c r="N98" s="2" t="str">
        <f>IF($D98="","",INDEX('02_能力差距自评'!$J:$J,MATCH($D98,'02_能力差距自评'!$F:$F,0)))</f>
        <v/>
      </c>
      <c r="O98" s="2" t="str">
        <f>IF($D98="","",INDEX('02_能力差距自评'!$K:$K,MATCH($D98,'02_能力差距自评'!$F:$F,0)))</f>
        <v/>
      </c>
      <c r="P98" s="2"/>
      <c r="Q98" s="2"/>
      <c r="R98" s="2"/>
      <c r="S98" s="8" t="str">
        <f t="shared" si="3"/>
        <v/>
      </c>
      <c r="T98" s="8"/>
      <c r="U98" s="8"/>
      <c r="V98" s="8"/>
    </row>
    <row r="99" spans="1:22" ht="13.9">
      <c r="A99" s="2" t="str">
        <f>IF($D99="","","LP"&amp;TEXT(ROWS($A$2:A99),"000"))</f>
        <v/>
      </c>
      <c r="B99" s="2" t="str">
        <f>IF($D99="","",IFERROR(INDEX('02_能力差距自评'!$Q:$Q,MATCH($D99,'02_能力差距自评'!$F:$F,0)),""))</f>
        <v/>
      </c>
      <c r="C99" s="2" t="str">
        <f>IF($D99="","",IFERROR(INDEX('02_能力差距自评'!$R:$R,MATCH($D99,'02_能力差距自评'!$F:$F,0)),""))</f>
        <v/>
      </c>
      <c r="D99" s="2" t="str">
        <f>IFERROR(INDEX('02_能力差距自评'!$F$2:$F$311,MATCH(ROWS($D$2:D99),'02_能力差距自评'!$W$2:$W$311,0)),"")</f>
        <v/>
      </c>
      <c r="E99" s="2" t="str">
        <f>IF($D99="","",INDEX('02_能力差距自评'!$G:$G,MATCH($D99,'02_能力差距自评'!$F:$F,0)))</f>
        <v/>
      </c>
      <c r="F99" s="2" t="str">
        <f>IF($D99="","",INDEX('02_能力差距自评'!$C:$C,MATCH($D99,'02_能力差距自评'!$F:$F,0)))</f>
        <v/>
      </c>
      <c r="G99" s="2" t="str">
        <f>IF($D99="","",INDEX('02_能力差距自评'!$E:$E,MATCH($D99,'02_能力差距自评'!$F:$F,0)))</f>
        <v/>
      </c>
      <c r="H99" s="2" t="str">
        <f>IF($D99="","",INDEX('02_能力差距自评'!$L:$L,MATCH($D99,'02_能力差距自评'!$F:$F,0)))</f>
        <v/>
      </c>
      <c r="I99" s="2" t="str">
        <f>IF($D99="","",INDEX('02_能力差距自评'!$M:$M,MATCH($D99,'02_能力差距自评'!$F:$F,0)))</f>
        <v/>
      </c>
      <c r="J99" s="2" t="str">
        <f>IF($D99="","",INDEX('02_能力差距自评'!$N:$N,MATCH($D99,'02_能力差距自评'!$F:$F,0)))</f>
        <v/>
      </c>
      <c r="K99" s="4" t="str">
        <f>IF($D99="","",INDEX('02_能力差距自评'!$O:$O,MATCH($D99,'02_能力差距自评'!$F:$F,0)))</f>
        <v/>
      </c>
      <c r="L99" s="4" t="str">
        <f>IF($D99="","",INDEX('02_能力差距自评'!$I:$I,MATCH($D99,'02_能力差距自评'!$F:$F,0)))</f>
        <v/>
      </c>
      <c r="M99" s="2" t="str">
        <f t="shared" si="2"/>
        <v/>
      </c>
      <c r="N99" s="2" t="str">
        <f>IF($D99="","",INDEX('02_能力差距自评'!$J:$J,MATCH($D99,'02_能力差距自评'!$F:$F,0)))</f>
        <v/>
      </c>
      <c r="O99" s="2" t="str">
        <f>IF($D99="","",INDEX('02_能力差距自评'!$K:$K,MATCH($D99,'02_能力差距自评'!$F:$F,0)))</f>
        <v/>
      </c>
      <c r="P99" s="2"/>
      <c r="Q99" s="2"/>
      <c r="R99" s="2"/>
      <c r="S99" s="8" t="str">
        <f t="shared" si="3"/>
        <v/>
      </c>
      <c r="T99" s="8"/>
      <c r="U99" s="8"/>
      <c r="V99" s="8"/>
    </row>
    <row r="100" spans="1:22" ht="13.9">
      <c r="A100" s="2" t="str">
        <f>IF($D100="","","LP"&amp;TEXT(ROWS($A$2:A100),"000"))</f>
        <v/>
      </c>
      <c r="B100" s="2" t="str">
        <f>IF($D100="","",IFERROR(INDEX('02_能力差距自评'!$Q:$Q,MATCH($D100,'02_能力差距自评'!$F:$F,0)),""))</f>
        <v/>
      </c>
      <c r="C100" s="2" t="str">
        <f>IF($D100="","",IFERROR(INDEX('02_能力差距自评'!$R:$R,MATCH($D100,'02_能力差距自评'!$F:$F,0)),""))</f>
        <v/>
      </c>
      <c r="D100" s="2" t="str">
        <f>IFERROR(INDEX('02_能力差距自评'!$F$2:$F$311,MATCH(ROWS($D$2:D100),'02_能力差距自评'!$W$2:$W$311,0)),"")</f>
        <v/>
      </c>
      <c r="E100" s="2" t="str">
        <f>IF($D100="","",INDEX('02_能力差距自评'!$G:$G,MATCH($D100,'02_能力差距自评'!$F:$F,0)))</f>
        <v/>
      </c>
      <c r="F100" s="2" t="str">
        <f>IF($D100="","",INDEX('02_能力差距自评'!$C:$C,MATCH($D100,'02_能力差距自评'!$F:$F,0)))</f>
        <v/>
      </c>
      <c r="G100" s="2" t="str">
        <f>IF($D100="","",INDEX('02_能力差距自评'!$E:$E,MATCH($D100,'02_能力差距自评'!$F:$F,0)))</f>
        <v/>
      </c>
      <c r="H100" s="2" t="str">
        <f>IF($D100="","",INDEX('02_能力差距自评'!$L:$L,MATCH($D100,'02_能力差距自评'!$F:$F,0)))</f>
        <v/>
      </c>
      <c r="I100" s="2" t="str">
        <f>IF($D100="","",INDEX('02_能力差距自评'!$M:$M,MATCH($D100,'02_能力差距自评'!$F:$F,0)))</f>
        <v/>
      </c>
      <c r="J100" s="2" t="str">
        <f>IF($D100="","",INDEX('02_能力差距自评'!$N:$N,MATCH($D100,'02_能力差距自评'!$F:$F,0)))</f>
        <v/>
      </c>
      <c r="K100" s="4" t="str">
        <f>IF($D100="","",INDEX('02_能力差距自评'!$O:$O,MATCH($D100,'02_能力差距自评'!$F:$F,0)))</f>
        <v/>
      </c>
      <c r="L100" s="4" t="str">
        <f>IF($D100="","",INDEX('02_能力差距自评'!$I:$I,MATCH($D100,'02_能力差距自评'!$F:$F,0)))</f>
        <v/>
      </c>
      <c r="M100" s="2" t="str">
        <f t="shared" si="2"/>
        <v/>
      </c>
      <c r="N100" s="2" t="str">
        <f>IF($D100="","",INDEX('02_能力差距自评'!$J:$J,MATCH($D100,'02_能力差距自评'!$F:$F,0)))</f>
        <v/>
      </c>
      <c r="O100" s="2" t="str">
        <f>IF($D100="","",INDEX('02_能力差距自评'!$K:$K,MATCH($D100,'02_能力差距自评'!$F:$F,0)))</f>
        <v/>
      </c>
      <c r="P100" s="2"/>
      <c r="Q100" s="2"/>
      <c r="R100" s="2"/>
      <c r="S100" s="8" t="str">
        <f t="shared" si="3"/>
        <v/>
      </c>
      <c r="T100" s="8"/>
      <c r="U100" s="8"/>
      <c r="V100" s="8"/>
    </row>
    <row r="101" spans="1:22" ht="13.9">
      <c r="A101" s="2" t="str">
        <f>IF($D101="","","LP"&amp;TEXT(ROWS($A$2:A101),"000"))</f>
        <v/>
      </c>
      <c r="B101" s="2" t="str">
        <f>IF($D101="","",IFERROR(INDEX('02_能力差距自评'!$Q:$Q,MATCH($D101,'02_能力差距自评'!$F:$F,0)),""))</f>
        <v/>
      </c>
      <c r="C101" s="2" t="str">
        <f>IF($D101="","",IFERROR(INDEX('02_能力差距自评'!$R:$R,MATCH($D101,'02_能力差距自评'!$F:$F,0)),""))</f>
        <v/>
      </c>
      <c r="D101" s="2" t="str">
        <f>IFERROR(INDEX('02_能力差距自评'!$F$2:$F$311,MATCH(ROWS($D$2:D101),'02_能力差距自评'!$W$2:$W$311,0)),"")</f>
        <v/>
      </c>
      <c r="E101" s="2" t="str">
        <f>IF($D101="","",INDEX('02_能力差距自评'!$G:$G,MATCH($D101,'02_能力差距自评'!$F:$F,0)))</f>
        <v/>
      </c>
      <c r="F101" s="2" t="str">
        <f>IF($D101="","",INDEX('02_能力差距自评'!$C:$C,MATCH($D101,'02_能力差距自评'!$F:$F,0)))</f>
        <v/>
      </c>
      <c r="G101" s="2" t="str">
        <f>IF($D101="","",INDEX('02_能力差距自评'!$E:$E,MATCH($D101,'02_能力差距自评'!$F:$F,0)))</f>
        <v/>
      </c>
      <c r="H101" s="2" t="str">
        <f>IF($D101="","",INDEX('02_能力差距自评'!$L:$L,MATCH($D101,'02_能力差距自评'!$F:$F,0)))</f>
        <v/>
      </c>
      <c r="I101" s="2" t="str">
        <f>IF($D101="","",INDEX('02_能力差距自评'!$M:$M,MATCH($D101,'02_能力差距自评'!$F:$F,0)))</f>
        <v/>
      </c>
      <c r="J101" s="2" t="str">
        <f>IF($D101="","",INDEX('02_能力差距自评'!$N:$N,MATCH($D101,'02_能力差距自评'!$F:$F,0)))</f>
        <v/>
      </c>
      <c r="K101" s="4" t="str">
        <f>IF($D101="","",INDEX('02_能力差距自评'!$O:$O,MATCH($D101,'02_能力差距自评'!$F:$F,0)))</f>
        <v/>
      </c>
      <c r="L101" s="4" t="str">
        <f>IF($D101="","",INDEX('02_能力差距自评'!$I:$I,MATCH($D101,'02_能力差距自评'!$F:$F,0)))</f>
        <v/>
      </c>
      <c r="M101" s="2" t="str">
        <f t="shared" si="2"/>
        <v/>
      </c>
      <c r="N101" s="2" t="str">
        <f>IF($D101="","",INDEX('02_能力差距自评'!$J:$J,MATCH($D101,'02_能力差距自评'!$F:$F,0)))</f>
        <v/>
      </c>
      <c r="O101" s="2" t="str">
        <f>IF($D101="","",INDEX('02_能力差距自评'!$K:$K,MATCH($D101,'02_能力差距自评'!$F:$F,0)))</f>
        <v/>
      </c>
      <c r="P101" s="2"/>
      <c r="Q101" s="2"/>
      <c r="R101" s="2"/>
      <c r="S101" s="8" t="str">
        <f t="shared" si="3"/>
        <v/>
      </c>
      <c r="T101" s="8"/>
      <c r="U101" s="8"/>
      <c r="V101" s="8"/>
    </row>
    <row r="102" spans="1:22" ht="13.9">
      <c r="A102" s="2" t="str">
        <f>IF($D102="","","LP"&amp;TEXT(ROWS($A$2:A102),"000"))</f>
        <v/>
      </c>
      <c r="B102" s="2" t="str">
        <f>IF($D102="","",IFERROR(INDEX('02_能力差距自评'!$Q:$Q,MATCH($D102,'02_能力差距自评'!$F:$F,0)),""))</f>
        <v/>
      </c>
      <c r="C102" s="2" t="str">
        <f>IF($D102="","",IFERROR(INDEX('02_能力差距自评'!$R:$R,MATCH($D102,'02_能力差距自评'!$F:$F,0)),""))</f>
        <v/>
      </c>
      <c r="D102" s="2" t="str">
        <f>IFERROR(INDEX('02_能力差距自评'!$F$2:$F$311,MATCH(ROWS($D$2:D102),'02_能力差距自评'!$W$2:$W$311,0)),"")</f>
        <v/>
      </c>
      <c r="E102" s="2" t="str">
        <f>IF($D102="","",INDEX('02_能力差距自评'!$G:$G,MATCH($D102,'02_能力差距自评'!$F:$F,0)))</f>
        <v/>
      </c>
      <c r="F102" s="2" t="str">
        <f>IF($D102="","",INDEX('02_能力差距自评'!$C:$C,MATCH($D102,'02_能力差距自评'!$F:$F,0)))</f>
        <v/>
      </c>
      <c r="G102" s="2" t="str">
        <f>IF($D102="","",INDEX('02_能力差距自评'!$E:$E,MATCH($D102,'02_能力差距自评'!$F:$F,0)))</f>
        <v/>
      </c>
      <c r="H102" s="2" t="str">
        <f>IF($D102="","",INDEX('02_能力差距自评'!$L:$L,MATCH($D102,'02_能力差距自评'!$F:$F,0)))</f>
        <v/>
      </c>
      <c r="I102" s="2" t="str">
        <f>IF($D102="","",INDEX('02_能力差距自评'!$M:$M,MATCH($D102,'02_能力差距自评'!$F:$F,0)))</f>
        <v/>
      </c>
      <c r="J102" s="2" t="str">
        <f>IF($D102="","",INDEX('02_能力差距自评'!$N:$N,MATCH($D102,'02_能力差距自评'!$F:$F,0)))</f>
        <v/>
      </c>
      <c r="K102" s="4" t="str">
        <f>IF($D102="","",INDEX('02_能力差距自评'!$O:$O,MATCH($D102,'02_能力差距自评'!$F:$F,0)))</f>
        <v/>
      </c>
      <c r="L102" s="4" t="str">
        <f>IF($D102="","",INDEX('02_能力差距自评'!$I:$I,MATCH($D102,'02_能力差距自评'!$F:$F,0)))</f>
        <v/>
      </c>
      <c r="M102" s="2" t="str">
        <f t="shared" si="2"/>
        <v/>
      </c>
      <c r="N102" s="2" t="str">
        <f>IF($D102="","",INDEX('02_能力差距自评'!$J:$J,MATCH($D102,'02_能力差距自评'!$F:$F,0)))</f>
        <v/>
      </c>
      <c r="O102" s="2" t="str">
        <f>IF($D102="","",INDEX('02_能力差距自评'!$K:$K,MATCH($D102,'02_能力差距自评'!$F:$F,0)))</f>
        <v/>
      </c>
      <c r="P102" s="2"/>
      <c r="Q102" s="2"/>
      <c r="R102" s="2"/>
      <c r="S102" s="8" t="str">
        <f t="shared" si="3"/>
        <v/>
      </c>
      <c r="T102" s="8"/>
      <c r="U102" s="8"/>
      <c r="V102" s="8"/>
    </row>
    <row r="103" spans="1:22" ht="13.9">
      <c r="A103" s="2" t="str">
        <f>IF($D103="","","LP"&amp;TEXT(ROWS($A$2:A103),"000"))</f>
        <v/>
      </c>
      <c r="B103" s="2" t="str">
        <f>IF($D103="","",IFERROR(INDEX('02_能力差距自评'!$Q:$Q,MATCH($D103,'02_能力差距自评'!$F:$F,0)),""))</f>
        <v/>
      </c>
      <c r="C103" s="2" t="str">
        <f>IF($D103="","",IFERROR(INDEX('02_能力差距自评'!$R:$R,MATCH($D103,'02_能力差距自评'!$F:$F,0)),""))</f>
        <v/>
      </c>
      <c r="D103" s="2" t="str">
        <f>IFERROR(INDEX('02_能力差距自评'!$F$2:$F$311,MATCH(ROWS($D$2:D103),'02_能力差距自评'!$W$2:$W$311,0)),"")</f>
        <v/>
      </c>
      <c r="E103" s="2" t="str">
        <f>IF($D103="","",INDEX('02_能力差距自评'!$G:$G,MATCH($D103,'02_能力差距自评'!$F:$F,0)))</f>
        <v/>
      </c>
      <c r="F103" s="2" t="str">
        <f>IF($D103="","",INDEX('02_能力差距自评'!$C:$C,MATCH($D103,'02_能力差距自评'!$F:$F,0)))</f>
        <v/>
      </c>
      <c r="G103" s="2" t="str">
        <f>IF($D103="","",INDEX('02_能力差距自评'!$E:$E,MATCH($D103,'02_能力差距自评'!$F:$F,0)))</f>
        <v/>
      </c>
      <c r="H103" s="2" t="str">
        <f>IF($D103="","",INDEX('02_能力差距自评'!$L:$L,MATCH($D103,'02_能力差距自评'!$F:$F,0)))</f>
        <v/>
      </c>
      <c r="I103" s="2" t="str">
        <f>IF($D103="","",INDEX('02_能力差距自评'!$M:$M,MATCH($D103,'02_能力差距自评'!$F:$F,0)))</f>
        <v/>
      </c>
      <c r="J103" s="2" t="str">
        <f>IF($D103="","",INDEX('02_能力差距自评'!$N:$N,MATCH($D103,'02_能力差距自评'!$F:$F,0)))</f>
        <v/>
      </c>
      <c r="K103" s="4" t="str">
        <f>IF($D103="","",INDEX('02_能力差距自评'!$O:$O,MATCH($D103,'02_能力差距自评'!$F:$F,0)))</f>
        <v/>
      </c>
      <c r="L103" s="4" t="str">
        <f>IF($D103="","",INDEX('02_能力差距自评'!$I:$I,MATCH($D103,'02_能力差距自评'!$F:$F,0)))</f>
        <v/>
      </c>
      <c r="M103" s="2" t="str">
        <f t="shared" si="2"/>
        <v/>
      </c>
      <c r="N103" s="2" t="str">
        <f>IF($D103="","",INDEX('02_能力差距自评'!$J:$J,MATCH($D103,'02_能力差距自评'!$F:$F,0)))</f>
        <v/>
      </c>
      <c r="O103" s="2" t="str">
        <f>IF($D103="","",INDEX('02_能力差距自评'!$K:$K,MATCH($D103,'02_能力差距自评'!$F:$F,0)))</f>
        <v/>
      </c>
      <c r="P103" s="2"/>
      <c r="Q103" s="2"/>
      <c r="R103" s="2"/>
      <c r="S103" s="8" t="str">
        <f t="shared" si="3"/>
        <v/>
      </c>
      <c r="T103" s="8"/>
      <c r="U103" s="8"/>
      <c r="V103" s="8"/>
    </row>
    <row r="104" spans="1:22" ht="13.9">
      <c r="A104" s="2" t="str">
        <f>IF($D104="","","LP"&amp;TEXT(ROWS($A$2:A104),"000"))</f>
        <v/>
      </c>
      <c r="B104" s="2" t="str">
        <f>IF($D104="","",IFERROR(INDEX('02_能力差距自评'!$Q:$Q,MATCH($D104,'02_能力差距自评'!$F:$F,0)),""))</f>
        <v/>
      </c>
      <c r="C104" s="2" t="str">
        <f>IF($D104="","",IFERROR(INDEX('02_能力差距自评'!$R:$R,MATCH($D104,'02_能力差距自评'!$F:$F,0)),""))</f>
        <v/>
      </c>
      <c r="D104" s="2" t="str">
        <f>IFERROR(INDEX('02_能力差距自评'!$F$2:$F$311,MATCH(ROWS($D$2:D104),'02_能力差距自评'!$W$2:$W$311,0)),"")</f>
        <v/>
      </c>
      <c r="E104" s="2" t="str">
        <f>IF($D104="","",INDEX('02_能力差距自评'!$G:$G,MATCH($D104,'02_能力差距自评'!$F:$F,0)))</f>
        <v/>
      </c>
      <c r="F104" s="2" t="str">
        <f>IF($D104="","",INDEX('02_能力差距自评'!$C:$C,MATCH($D104,'02_能力差距自评'!$F:$F,0)))</f>
        <v/>
      </c>
      <c r="G104" s="2" t="str">
        <f>IF($D104="","",INDEX('02_能力差距自评'!$E:$E,MATCH($D104,'02_能力差距自评'!$F:$F,0)))</f>
        <v/>
      </c>
      <c r="H104" s="2" t="str">
        <f>IF($D104="","",INDEX('02_能力差距自评'!$L:$L,MATCH($D104,'02_能力差距自评'!$F:$F,0)))</f>
        <v/>
      </c>
      <c r="I104" s="2" t="str">
        <f>IF($D104="","",INDEX('02_能力差距自评'!$M:$M,MATCH($D104,'02_能力差距自评'!$F:$F,0)))</f>
        <v/>
      </c>
      <c r="J104" s="2" t="str">
        <f>IF($D104="","",INDEX('02_能力差距自评'!$N:$N,MATCH($D104,'02_能力差距自评'!$F:$F,0)))</f>
        <v/>
      </c>
      <c r="K104" s="4" t="str">
        <f>IF($D104="","",INDEX('02_能力差距自评'!$O:$O,MATCH($D104,'02_能力差距自评'!$F:$F,0)))</f>
        <v/>
      </c>
      <c r="L104" s="4" t="str">
        <f>IF($D104="","",INDEX('02_能力差距自评'!$I:$I,MATCH($D104,'02_能力差距自评'!$F:$F,0)))</f>
        <v/>
      </c>
      <c r="M104" s="2" t="str">
        <f t="shared" si="2"/>
        <v/>
      </c>
      <c r="N104" s="2" t="str">
        <f>IF($D104="","",INDEX('02_能力差距自评'!$J:$J,MATCH($D104,'02_能力差距自评'!$F:$F,0)))</f>
        <v/>
      </c>
      <c r="O104" s="2" t="str">
        <f>IF($D104="","",INDEX('02_能力差距自评'!$K:$K,MATCH($D104,'02_能力差距自评'!$F:$F,0)))</f>
        <v/>
      </c>
      <c r="P104" s="2"/>
      <c r="Q104" s="2"/>
      <c r="R104" s="2"/>
      <c r="S104" s="8" t="str">
        <f t="shared" si="3"/>
        <v/>
      </c>
      <c r="T104" s="8"/>
      <c r="U104" s="8"/>
      <c r="V104" s="8"/>
    </row>
    <row r="105" spans="1:22" ht="13.9">
      <c r="A105" s="2" t="str">
        <f>IF($D105="","","LP"&amp;TEXT(ROWS($A$2:A105),"000"))</f>
        <v/>
      </c>
      <c r="B105" s="2" t="str">
        <f>IF($D105="","",IFERROR(INDEX('02_能力差距自评'!$Q:$Q,MATCH($D105,'02_能力差距自评'!$F:$F,0)),""))</f>
        <v/>
      </c>
      <c r="C105" s="2" t="str">
        <f>IF($D105="","",IFERROR(INDEX('02_能力差距自评'!$R:$R,MATCH($D105,'02_能力差距自评'!$F:$F,0)),""))</f>
        <v/>
      </c>
      <c r="D105" s="2" t="str">
        <f>IFERROR(INDEX('02_能力差距自评'!$F$2:$F$311,MATCH(ROWS($D$2:D105),'02_能力差距自评'!$W$2:$W$311,0)),"")</f>
        <v/>
      </c>
      <c r="E105" s="2" t="str">
        <f>IF($D105="","",INDEX('02_能力差距自评'!$G:$G,MATCH($D105,'02_能力差距自评'!$F:$F,0)))</f>
        <v/>
      </c>
      <c r="F105" s="2" t="str">
        <f>IF($D105="","",INDEX('02_能力差距自评'!$C:$C,MATCH($D105,'02_能力差距自评'!$F:$F,0)))</f>
        <v/>
      </c>
      <c r="G105" s="2" t="str">
        <f>IF($D105="","",INDEX('02_能力差距自评'!$E:$E,MATCH($D105,'02_能力差距自评'!$F:$F,0)))</f>
        <v/>
      </c>
      <c r="H105" s="2" t="str">
        <f>IF($D105="","",INDEX('02_能力差距自评'!$L:$L,MATCH($D105,'02_能力差距自评'!$F:$F,0)))</f>
        <v/>
      </c>
      <c r="I105" s="2" t="str">
        <f>IF($D105="","",INDEX('02_能力差距自评'!$M:$M,MATCH($D105,'02_能力差距自评'!$F:$F,0)))</f>
        <v/>
      </c>
      <c r="J105" s="2" t="str">
        <f>IF($D105="","",INDEX('02_能力差距自评'!$N:$N,MATCH($D105,'02_能力差距自评'!$F:$F,0)))</f>
        <v/>
      </c>
      <c r="K105" s="4" t="str">
        <f>IF($D105="","",INDEX('02_能力差距自评'!$O:$O,MATCH($D105,'02_能力差距自评'!$F:$F,0)))</f>
        <v/>
      </c>
      <c r="L105" s="4" t="str">
        <f>IF($D105="","",INDEX('02_能力差距自评'!$I:$I,MATCH($D105,'02_能力差距自评'!$F:$F,0)))</f>
        <v/>
      </c>
      <c r="M105" s="2" t="str">
        <f t="shared" si="2"/>
        <v/>
      </c>
      <c r="N105" s="2" t="str">
        <f>IF($D105="","",INDEX('02_能力差距自评'!$J:$J,MATCH($D105,'02_能力差距自评'!$F:$F,0)))</f>
        <v/>
      </c>
      <c r="O105" s="2" t="str">
        <f>IF($D105="","",INDEX('02_能力差距自评'!$K:$K,MATCH($D105,'02_能力差距自评'!$F:$F,0)))</f>
        <v/>
      </c>
      <c r="P105" s="2"/>
      <c r="Q105" s="2"/>
      <c r="R105" s="2"/>
      <c r="S105" s="8" t="str">
        <f t="shared" si="3"/>
        <v/>
      </c>
      <c r="T105" s="8"/>
      <c r="U105" s="8"/>
      <c r="V105" s="8"/>
    </row>
    <row r="106" spans="1:22" ht="13.9">
      <c r="A106" s="2" t="str">
        <f>IF($D106="","","LP"&amp;TEXT(ROWS($A$2:A106),"000"))</f>
        <v/>
      </c>
      <c r="B106" s="2" t="str">
        <f>IF($D106="","",IFERROR(INDEX('02_能力差距自评'!$Q:$Q,MATCH($D106,'02_能力差距自评'!$F:$F,0)),""))</f>
        <v/>
      </c>
      <c r="C106" s="2" t="str">
        <f>IF($D106="","",IFERROR(INDEX('02_能力差距自评'!$R:$R,MATCH($D106,'02_能力差距自评'!$F:$F,0)),""))</f>
        <v/>
      </c>
      <c r="D106" s="2" t="str">
        <f>IFERROR(INDEX('02_能力差距自评'!$F$2:$F$311,MATCH(ROWS($D$2:D106),'02_能力差距自评'!$W$2:$W$311,0)),"")</f>
        <v/>
      </c>
      <c r="E106" s="2" t="str">
        <f>IF($D106="","",INDEX('02_能力差距自评'!$G:$G,MATCH($D106,'02_能力差距自评'!$F:$F,0)))</f>
        <v/>
      </c>
      <c r="F106" s="2" t="str">
        <f>IF($D106="","",INDEX('02_能力差距自评'!$C:$C,MATCH($D106,'02_能力差距自评'!$F:$F,0)))</f>
        <v/>
      </c>
      <c r="G106" s="2" t="str">
        <f>IF($D106="","",INDEX('02_能力差距自评'!$E:$E,MATCH($D106,'02_能力差距自评'!$F:$F,0)))</f>
        <v/>
      </c>
      <c r="H106" s="2" t="str">
        <f>IF($D106="","",INDEX('02_能力差距自评'!$L:$L,MATCH($D106,'02_能力差距自评'!$F:$F,0)))</f>
        <v/>
      </c>
      <c r="I106" s="2" t="str">
        <f>IF($D106="","",INDEX('02_能力差距自评'!$M:$M,MATCH($D106,'02_能力差距自评'!$F:$F,0)))</f>
        <v/>
      </c>
      <c r="J106" s="2" t="str">
        <f>IF($D106="","",INDEX('02_能力差距自评'!$N:$N,MATCH($D106,'02_能力差距自评'!$F:$F,0)))</f>
        <v/>
      </c>
      <c r="K106" s="4" t="str">
        <f>IF($D106="","",INDEX('02_能力差距自评'!$O:$O,MATCH($D106,'02_能力差距自评'!$F:$F,0)))</f>
        <v/>
      </c>
      <c r="L106" s="4" t="str">
        <f>IF($D106="","",INDEX('02_能力差距自评'!$I:$I,MATCH($D106,'02_能力差距自评'!$F:$F,0)))</f>
        <v/>
      </c>
      <c r="M106" s="2" t="str">
        <f t="shared" si="2"/>
        <v/>
      </c>
      <c r="N106" s="2" t="str">
        <f>IF($D106="","",INDEX('02_能力差距自评'!$J:$J,MATCH($D106,'02_能力差距自评'!$F:$F,0)))</f>
        <v/>
      </c>
      <c r="O106" s="2" t="str">
        <f>IF($D106="","",INDEX('02_能力差距自评'!$K:$K,MATCH($D106,'02_能力差距自评'!$F:$F,0)))</f>
        <v/>
      </c>
      <c r="P106" s="2"/>
      <c r="Q106" s="2"/>
      <c r="R106" s="2"/>
      <c r="S106" s="8" t="str">
        <f t="shared" si="3"/>
        <v/>
      </c>
      <c r="T106" s="8"/>
      <c r="U106" s="8"/>
      <c r="V106" s="8"/>
    </row>
    <row r="107" spans="1:22" ht="13.9">
      <c r="A107" s="2" t="str">
        <f>IF($D107="","","LP"&amp;TEXT(ROWS($A$2:A107),"000"))</f>
        <v/>
      </c>
      <c r="B107" s="2" t="str">
        <f>IF($D107="","",IFERROR(INDEX('02_能力差距自评'!$Q:$Q,MATCH($D107,'02_能力差距自评'!$F:$F,0)),""))</f>
        <v/>
      </c>
      <c r="C107" s="2" t="str">
        <f>IF($D107="","",IFERROR(INDEX('02_能力差距自评'!$R:$R,MATCH($D107,'02_能力差距自评'!$F:$F,0)),""))</f>
        <v/>
      </c>
      <c r="D107" s="2" t="str">
        <f>IFERROR(INDEX('02_能力差距自评'!$F$2:$F$311,MATCH(ROWS($D$2:D107),'02_能力差距自评'!$W$2:$W$311,0)),"")</f>
        <v/>
      </c>
      <c r="E107" s="2" t="str">
        <f>IF($D107="","",INDEX('02_能力差距自评'!$G:$G,MATCH($D107,'02_能力差距自评'!$F:$F,0)))</f>
        <v/>
      </c>
      <c r="F107" s="2" t="str">
        <f>IF($D107="","",INDEX('02_能力差距自评'!$C:$C,MATCH($D107,'02_能力差距自评'!$F:$F,0)))</f>
        <v/>
      </c>
      <c r="G107" s="2" t="str">
        <f>IF($D107="","",INDEX('02_能力差距自评'!$E:$E,MATCH($D107,'02_能力差距自评'!$F:$F,0)))</f>
        <v/>
      </c>
      <c r="H107" s="2" t="str">
        <f>IF($D107="","",INDEX('02_能力差距自评'!$L:$L,MATCH($D107,'02_能力差距自评'!$F:$F,0)))</f>
        <v/>
      </c>
      <c r="I107" s="2" t="str">
        <f>IF($D107="","",INDEX('02_能力差距自评'!$M:$M,MATCH($D107,'02_能力差距自评'!$F:$F,0)))</f>
        <v/>
      </c>
      <c r="J107" s="2" t="str">
        <f>IF($D107="","",INDEX('02_能力差距自评'!$N:$N,MATCH($D107,'02_能力差距自评'!$F:$F,0)))</f>
        <v/>
      </c>
      <c r="K107" s="4" t="str">
        <f>IF($D107="","",INDEX('02_能力差距自评'!$O:$O,MATCH($D107,'02_能力差距自评'!$F:$F,0)))</f>
        <v/>
      </c>
      <c r="L107" s="4" t="str">
        <f>IF($D107="","",INDEX('02_能力差距自评'!$I:$I,MATCH($D107,'02_能力差距自评'!$F:$F,0)))</f>
        <v/>
      </c>
      <c r="M107" s="2" t="str">
        <f t="shared" si="2"/>
        <v/>
      </c>
      <c r="N107" s="2" t="str">
        <f>IF($D107="","",INDEX('02_能力差距自评'!$J:$J,MATCH($D107,'02_能力差距自评'!$F:$F,0)))</f>
        <v/>
      </c>
      <c r="O107" s="2" t="str">
        <f>IF($D107="","",INDEX('02_能力差距自评'!$K:$K,MATCH($D107,'02_能力差距自评'!$F:$F,0)))</f>
        <v/>
      </c>
      <c r="P107" s="2"/>
      <c r="Q107" s="2"/>
      <c r="R107" s="2"/>
      <c r="S107" s="8" t="str">
        <f t="shared" si="3"/>
        <v/>
      </c>
      <c r="T107" s="8"/>
      <c r="U107" s="8"/>
      <c r="V107" s="8"/>
    </row>
    <row r="108" spans="1:22" ht="13.9">
      <c r="A108" s="2" t="str">
        <f>IF($D108="","","LP"&amp;TEXT(ROWS($A$2:A108),"000"))</f>
        <v/>
      </c>
      <c r="B108" s="2" t="str">
        <f>IF($D108="","",IFERROR(INDEX('02_能力差距自评'!$Q:$Q,MATCH($D108,'02_能力差距自评'!$F:$F,0)),""))</f>
        <v/>
      </c>
      <c r="C108" s="2" t="str">
        <f>IF($D108="","",IFERROR(INDEX('02_能力差距自评'!$R:$R,MATCH($D108,'02_能力差距自评'!$F:$F,0)),""))</f>
        <v/>
      </c>
      <c r="D108" s="2" t="str">
        <f>IFERROR(INDEX('02_能力差距自评'!$F$2:$F$311,MATCH(ROWS($D$2:D108),'02_能力差距自评'!$W$2:$W$311,0)),"")</f>
        <v/>
      </c>
      <c r="E108" s="2" t="str">
        <f>IF($D108="","",INDEX('02_能力差距自评'!$G:$G,MATCH($D108,'02_能力差距自评'!$F:$F,0)))</f>
        <v/>
      </c>
      <c r="F108" s="2" t="str">
        <f>IF($D108="","",INDEX('02_能力差距自评'!$C:$C,MATCH($D108,'02_能力差距自评'!$F:$F,0)))</f>
        <v/>
      </c>
      <c r="G108" s="2" t="str">
        <f>IF($D108="","",INDEX('02_能力差距自评'!$E:$E,MATCH($D108,'02_能力差距自评'!$F:$F,0)))</f>
        <v/>
      </c>
      <c r="H108" s="2" t="str">
        <f>IF($D108="","",INDEX('02_能力差距自评'!$L:$L,MATCH($D108,'02_能力差距自评'!$F:$F,0)))</f>
        <v/>
      </c>
      <c r="I108" s="2" t="str">
        <f>IF($D108="","",INDEX('02_能力差距自评'!$M:$M,MATCH($D108,'02_能力差距自评'!$F:$F,0)))</f>
        <v/>
      </c>
      <c r="J108" s="2" t="str">
        <f>IF($D108="","",INDEX('02_能力差距自评'!$N:$N,MATCH($D108,'02_能力差距自评'!$F:$F,0)))</f>
        <v/>
      </c>
      <c r="K108" s="4" t="str">
        <f>IF($D108="","",INDEX('02_能力差距自评'!$O:$O,MATCH($D108,'02_能力差距自评'!$F:$F,0)))</f>
        <v/>
      </c>
      <c r="L108" s="4" t="str">
        <f>IF($D108="","",INDEX('02_能力差距自评'!$I:$I,MATCH($D108,'02_能力差距自评'!$F:$F,0)))</f>
        <v/>
      </c>
      <c r="M108" s="2" t="str">
        <f t="shared" si="2"/>
        <v/>
      </c>
      <c r="N108" s="2" t="str">
        <f>IF($D108="","",INDEX('02_能力差距自评'!$J:$J,MATCH($D108,'02_能力差距自评'!$F:$F,0)))</f>
        <v/>
      </c>
      <c r="O108" s="2" t="str">
        <f>IF($D108="","",INDEX('02_能力差距自评'!$K:$K,MATCH($D108,'02_能力差距自评'!$F:$F,0)))</f>
        <v/>
      </c>
      <c r="P108" s="2"/>
      <c r="Q108" s="2"/>
      <c r="R108" s="2"/>
      <c r="S108" s="8" t="str">
        <f t="shared" si="3"/>
        <v/>
      </c>
      <c r="T108" s="8"/>
      <c r="U108" s="8"/>
      <c r="V108" s="8"/>
    </row>
    <row r="109" spans="1:22" ht="13.9">
      <c r="A109" s="2" t="str">
        <f>IF($D109="","","LP"&amp;TEXT(ROWS($A$2:A109),"000"))</f>
        <v/>
      </c>
      <c r="B109" s="2" t="str">
        <f>IF($D109="","",IFERROR(INDEX('02_能力差距自评'!$Q:$Q,MATCH($D109,'02_能力差距自评'!$F:$F,0)),""))</f>
        <v/>
      </c>
      <c r="C109" s="2" t="str">
        <f>IF($D109="","",IFERROR(INDEX('02_能力差距自评'!$R:$R,MATCH($D109,'02_能力差距自评'!$F:$F,0)),""))</f>
        <v/>
      </c>
      <c r="D109" s="2" t="str">
        <f>IFERROR(INDEX('02_能力差距自评'!$F$2:$F$311,MATCH(ROWS($D$2:D109),'02_能力差距自评'!$W$2:$W$311,0)),"")</f>
        <v/>
      </c>
      <c r="E109" s="2" t="str">
        <f>IF($D109="","",INDEX('02_能力差距自评'!$G:$G,MATCH($D109,'02_能力差距自评'!$F:$F,0)))</f>
        <v/>
      </c>
      <c r="F109" s="2" t="str">
        <f>IF($D109="","",INDEX('02_能力差距自评'!$C:$C,MATCH($D109,'02_能力差距自评'!$F:$F,0)))</f>
        <v/>
      </c>
      <c r="G109" s="2" t="str">
        <f>IF($D109="","",INDEX('02_能力差距自评'!$E:$E,MATCH($D109,'02_能力差距自评'!$F:$F,0)))</f>
        <v/>
      </c>
      <c r="H109" s="2" t="str">
        <f>IF($D109="","",INDEX('02_能力差距自评'!$L:$L,MATCH($D109,'02_能力差距自评'!$F:$F,0)))</f>
        <v/>
      </c>
      <c r="I109" s="2" t="str">
        <f>IF($D109="","",INDEX('02_能力差距自评'!$M:$M,MATCH($D109,'02_能力差距自评'!$F:$F,0)))</f>
        <v/>
      </c>
      <c r="J109" s="2" t="str">
        <f>IF($D109="","",INDEX('02_能力差距自评'!$N:$N,MATCH($D109,'02_能力差距自评'!$F:$F,0)))</f>
        <v/>
      </c>
      <c r="K109" s="4" t="str">
        <f>IF($D109="","",INDEX('02_能力差距自评'!$O:$O,MATCH($D109,'02_能力差距自评'!$F:$F,0)))</f>
        <v/>
      </c>
      <c r="L109" s="4" t="str">
        <f>IF($D109="","",INDEX('02_能力差距自评'!$I:$I,MATCH($D109,'02_能力差距自评'!$F:$F,0)))</f>
        <v/>
      </c>
      <c r="M109" s="2" t="str">
        <f t="shared" si="2"/>
        <v/>
      </c>
      <c r="N109" s="2" t="str">
        <f>IF($D109="","",INDEX('02_能力差距自评'!$J:$J,MATCH($D109,'02_能力差距自评'!$F:$F,0)))</f>
        <v/>
      </c>
      <c r="O109" s="2" t="str">
        <f>IF($D109="","",INDEX('02_能力差距自评'!$K:$K,MATCH($D109,'02_能力差距自评'!$F:$F,0)))</f>
        <v/>
      </c>
      <c r="P109" s="2"/>
      <c r="Q109" s="2"/>
      <c r="R109" s="2"/>
      <c r="S109" s="8" t="str">
        <f t="shared" si="3"/>
        <v/>
      </c>
      <c r="T109" s="8"/>
      <c r="U109" s="8"/>
      <c r="V109" s="8"/>
    </row>
    <row r="110" spans="1:22" ht="13.9">
      <c r="A110" s="2" t="str">
        <f>IF($D110="","","LP"&amp;TEXT(ROWS($A$2:A110),"000"))</f>
        <v/>
      </c>
      <c r="B110" s="2" t="str">
        <f>IF($D110="","",IFERROR(INDEX('02_能力差距自评'!$Q:$Q,MATCH($D110,'02_能力差距自评'!$F:$F,0)),""))</f>
        <v/>
      </c>
      <c r="C110" s="2" t="str">
        <f>IF($D110="","",IFERROR(INDEX('02_能力差距自评'!$R:$R,MATCH($D110,'02_能力差距自评'!$F:$F,0)),""))</f>
        <v/>
      </c>
      <c r="D110" s="2" t="str">
        <f>IFERROR(INDEX('02_能力差距自评'!$F$2:$F$311,MATCH(ROWS($D$2:D110),'02_能力差距自评'!$W$2:$W$311,0)),"")</f>
        <v/>
      </c>
      <c r="E110" s="2" t="str">
        <f>IF($D110="","",INDEX('02_能力差距自评'!$G:$G,MATCH($D110,'02_能力差距自评'!$F:$F,0)))</f>
        <v/>
      </c>
      <c r="F110" s="2" t="str">
        <f>IF($D110="","",INDEX('02_能力差距自评'!$C:$C,MATCH($D110,'02_能力差距自评'!$F:$F,0)))</f>
        <v/>
      </c>
      <c r="G110" s="2" t="str">
        <f>IF($D110="","",INDEX('02_能力差距自评'!$E:$E,MATCH($D110,'02_能力差距自评'!$F:$F,0)))</f>
        <v/>
      </c>
      <c r="H110" s="2" t="str">
        <f>IF($D110="","",INDEX('02_能力差距自评'!$L:$L,MATCH($D110,'02_能力差距自评'!$F:$F,0)))</f>
        <v/>
      </c>
      <c r="I110" s="2" t="str">
        <f>IF($D110="","",INDEX('02_能力差距自评'!$M:$M,MATCH($D110,'02_能力差距自评'!$F:$F,0)))</f>
        <v/>
      </c>
      <c r="J110" s="2" t="str">
        <f>IF($D110="","",INDEX('02_能力差距自评'!$N:$N,MATCH($D110,'02_能力差距自评'!$F:$F,0)))</f>
        <v/>
      </c>
      <c r="K110" s="4" t="str">
        <f>IF($D110="","",INDEX('02_能力差距自评'!$O:$O,MATCH($D110,'02_能力差距自评'!$F:$F,0)))</f>
        <v/>
      </c>
      <c r="L110" s="4" t="str">
        <f>IF($D110="","",INDEX('02_能力差距自评'!$I:$I,MATCH($D110,'02_能力差距自评'!$F:$F,0)))</f>
        <v/>
      </c>
      <c r="M110" s="2" t="str">
        <f t="shared" si="2"/>
        <v/>
      </c>
      <c r="N110" s="2" t="str">
        <f>IF($D110="","",INDEX('02_能力差距自评'!$J:$J,MATCH($D110,'02_能力差距自评'!$F:$F,0)))</f>
        <v/>
      </c>
      <c r="O110" s="2" t="str">
        <f>IF($D110="","",INDEX('02_能力差距自评'!$K:$K,MATCH($D110,'02_能力差距自评'!$F:$F,0)))</f>
        <v/>
      </c>
      <c r="P110" s="2"/>
      <c r="Q110" s="2"/>
      <c r="R110" s="2"/>
      <c r="S110" s="8" t="str">
        <f t="shared" si="3"/>
        <v/>
      </c>
      <c r="T110" s="8"/>
      <c r="U110" s="8"/>
      <c r="V110" s="8"/>
    </row>
    <row r="111" spans="1:22" ht="13.9">
      <c r="A111" s="2" t="str">
        <f>IF($D111="","","LP"&amp;TEXT(ROWS($A$2:A111),"000"))</f>
        <v/>
      </c>
      <c r="B111" s="2" t="str">
        <f>IF($D111="","",IFERROR(INDEX('02_能力差距自评'!$Q:$Q,MATCH($D111,'02_能力差距自评'!$F:$F,0)),""))</f>
        <v/>
      </c>
      <c r="C111" s="2" t="str">
        <f>IF($D111="","",IFERROR(INDEX('02_能力差距自评'!$R:$R,MATCH($D111,'02_能力差距自评'!$F:$F,0)),""))</f>
        <v/>
      </c>
      <c r="D111" s="2" t="str">
        <f>IFERROR(INDEX('02_能力差距自评'!$F$2:$F$311,MATCH(ROWS($D$2:D111),'02_能力差距自评'!$W$2:$W$311,0)),"")</f>
        <v/>
      </c>
      <c r="E111" s="2" t="str">
        <f>IF($D111="","",INDEX('02_能力差距自评'!$G:$G,MATCH($D111,'02_能力差距自评'!$F:$F,0)))</f>
        <v/>
      </c>
      <c r="F111" s="2" t="str">
        <f>IF($D111="","",INDEX('02_能力差距自评'!$C:$C,MATCH($D111,'02_能力差距自评'!$F:$F,0)))</f>
        <v/>
      </c>
      <c r="G111" s="2" t="str">
        <f>IF($D111="","",INDEX('02_能力差距自评'!$E:$E,MATCH($D111,'02_能力差距自评'!$F:$F,0)))</f>
        <v/>
      </c>
      <c r="H111" s="2" t="str">
        <f>IF($D111="","",INDEX('02_能力差距自评'!$L:$L,MATCH($D111,'02_能力差距自评'!$F:$F,0)))</f>
        <v/>
      </c>
      <c r="I111" s="2" t="str">
        <f>IF($D111="","",INDEX('02_能力差距自评'!$M:$M,MATCH($D111,'02_能力差距自评'!$F:$F,0)))</f>
        <v/>
      </c>
      <c r="J111" s="2" t="str">
        <f>IF($D111="","",INDEX('02_能力差距自评'!$N:$N,MATCH($D111,'02_能力差距自评'!$F:$F,0)))</f>
        <v/>
      </c>
      <c r="K111" s="4" t="str">
        <f>IF($D111="","",INDEX('02_能力差距自评'!$O:$O,MATCH($D111,'02_能力差距自评'!$F:$F,0)))</f>
        <v/>
      </c>
      <c r="L111" s="4" t="str">
        <f>IF($D111="","",INDEX('02_能力差距自评'!$I:$I,MATCH($D111,'02_能力差距自评'!$F:$F,0)))</f>
        <v/>
      </c>
      <c r="M111" s="2" t="str">
        <f t="shared" si="2"/>
        <v/>
      </c>
      <c r="N111" s="2" t="str">
        <f>IF($D111="","",INDEX('02_能力差距自评'!$J:$J,MATCH($D111,'02_能力差距自评'!$F:$F,0)))</f>
        <v/>
      </c>
      <c r="O111" s="2" t="str">
        <f>IF($D111="","",INDEX('02_能力差距自评'!$K:$K,MATCH($D111,'02_能力差距自评'!$F:$F,0)))</f>
        <v/>
      </c>
      <c r="P111" s="2"/>
      <c r="Q111" s="2"/>
      <c r="R111" s="2"/>
      <c r="S111" s="8" t="str">
        <f t="shared" si="3"/>
        <v/>
      </c>
      <c r="T111" s="8"/>
      <c r="U111" s="8"/>
      <c r="V111" s="8"/>
    </row>
    <row r="112" spans="1:22" ht="13.9">
      <c r="A112" s="2" t="str">
        <f>IF($D112="","","LP"&amp;TEXT(ROWS($A$2:A112),"000"))</f>
        <v/>
      </c>
      <c r="B112" s="2" t="str">
        <f>IF($D112="","",IFERROR(INDEX('02_能力差距自评'!$Q:$Q,MATCH($D112,'02_能力差距自评'!$F:$F,0)),""))</f>
        <v/>
      </c>
      <c r="C112" s="2" t="str">
        <f>IF($D112="","",IFERROR(INDEX('02_能力差距自评'!$R:$R,MATCH($D112,'02_能力差距自评'!$F:$F,0)),""))</f>
        <v/>
      </c>
      <c r="D112" s="2" t="str">
        <f>IFERROR(INDEX('02_能力差距自评'!$F$2:$F$311,MATCH(ROWS($D$2:D112),'02_能力差距自评'!$W$2:$W$311,0)),"")</f>
        <v/>
      </c>
      <c r="E112" s="2" t="str">
        <f>IF($D112="","",INDEX('02_能力差距自评'!$G:$G,MATCH($D112,'02_能力差距自评'!$F:$F,0)))</f>
        <v/>
      </c>
      <c r="F112" s="2" t="str">
        <f>IF($D112="","",INDEX('02_能力差距自评'!$C:$C,MATCH($D112,'02_能力差距自评'!$F:$F,0)))</f>
        <v/>
      </c>
      <c r="G112" s="2" t="str">
        <f>IF($D112="","",INDEX('02_能力差距自评'!$E:$E,MATCH($D112,'02_能力差距自评'!$F:$F,0)))</f>
        <v/>
      </c>
      <c r="H112" s="2" t="str">
        <f>IF($D112="","",INDEX('02_能力差距自评'!$L:$L,MATCH($D112,'02_能力差距自评'!$F:$F,0)))</f>
        <v/>
      </c>
      <c r="I112" s="2" t="str">
        <f>IF($D112="","",INDEX('02_能力差距自评'!$M:$M,MATCH($D112,'02_能力差距自评'!$F:$F,0)))</f>
        <v/>
      </c>
      <c r="J112" s="2" t="str">
        <f>IF($D112="","",INDEX('02_能力差距自评'!$N:$N,MATCH($D112,'02_能力差距自评'!$F:$F,0)))</f>
        <v/>
      </c>
      <c r="K112" s="4" t="str">
        <f>IF($D112="","",INDEX('02_能力差距自评'!$O:$O,MATCH($D112,'02_能力差距自评'!$F:$F,0)))</f>
        <v/>
      </c>
      <c r="L112" s="4" t="str">
        <f>IF($D112="","",INDEX('02_能力差距自评'!$I:$I,MATCH($D112,'02_能力差距自评'!$F:$F,0)))</f>
        <v/>
      </c>
      <c r="M112" s="2" t="str">
        <f t="shared" si="2"/>
        <v/>
      </c>
      <c r="N112" s="2" t="str">
        <f>IF($D112="","",INDEX('02_能力差距自评'!$J:$J,MATCH($D112,'02_能力差距自评'!$F:$F,0)))</f>
        <v/>
      </c>
      <c r="O112" s="2" t="str">
        <f>IF($D112="","",INDEX('02_能力差距自评'!$K:$K,MATCH($D112,'02_能力差距自评'!$F:$F,0)))</f>
        <v/>
      </c>
      <c r="P112" s="2"/>
      <c r="Q112" s="2"/>
      <c r="R112" s="2"/>
      <c r="S112" s="8" t="str">
        <f t="shared" si="3"/>
        <v/>
      </c>
      <c r="T112" s="8"/>
      <c r="U112" s="8"/>
      <c r="V112" s="8"/>
    </row>
    <row r="113" spans="1:22" ht="13.9">
      <c r="A113" s="2" t="str">
        <f>IF($D113="","","LP"&amp;TEXT(ROWS($A$2:A113),"000"))</f>
        <v/>
      </c>
      <c r="B113" s="2" t="str">
        <f>IF($D113="","",IFERROR(INDEX('02_能力差距自评'!$Q:$Q,MATCH($D113,'02_能力差距自评'!$F:$F,0)),""))</f>
        <v/>
      </c>
      <c r="C113" s="2" t="str">
        <f>IF($D113="","",IFERROR(INDEX('02_能力差距自评'!$R:$R,MATCH($D113,'02_能力差距自评'!$F:$F,0)),""))</f>
        <v/>
      </c>
      <c r="D113" s="2" t="str">
        <f>IFERROR(INDEX('02_能力差距自评'!$F$2:$F$311,MATCH(ROWS($D$2:D113),'02_能力差距自评'!$W$2:$W$311,0)),"")</f>
        <v/>
      </c>
      <c r="E113" s="2" t="str">
        <f>IF($D113="","",INDEX('02_能力差距自评'!$G:$G,MATCH($D113,'02_能力差距自评'!$F:$F,0)))</f>
        <v/>
      </c>
      <c r="F113" s="2" t="str">
        <f>IF($D113="","",INDEX('02_能力差距自评'!$C:$C,MATCH($D113,'02_能力差距自评'!$F:$F,0)))</f>
        <v/>
      </c>
      <c r="G113" s="2" t="str">
        <f>IF($D113="","",INDEX('02_能力差距自评'!$E:$E,MATCH($D113,'02_能力差距自评'!$F:$F,0)))</f>
        <v/>
      </c>
      <c r="H113" s="2" t="str">
        <f>IF($D113="","",INDEX('02_能力差距自评'!$L:$L,MATCH($D113,'02_能力差距自评'!$F:$F,0)))</f>
        <v/>
      </c>
      <c r="I113" s="2" t="str">
        <f>IF($D113="","",INDEX('02_能力差距自评'!$M:$M,MATCH($D113,'02_能力差距自评'!$F:$F,0)))</f>
        <v/>
      </c>
      <c r="J113" s="2" t="str">
        <f>IF($D113="","",INDEX('02_能力差距自评'!$N:$N,MATCH($D113,'02_能力差距自评'!$F:$F,0)))</f>
        <v/>
      </c>
      <c r="K113" s="4" t="str">
        <f>IF($D113="","",INDEX('02_能力差距自评'!$O:$O,MATCH($D113,'02_能力差距自评'!$F:$F,0)))</f>
        <v/>
      </c>
      <c r="L113" s="4" t="str">
        <f>IF($D113="","",INDEX('02_能力差距自评'!$I:$I,MATCH($D113,'02_能力差距自评'!$F:$F,0)))</f>
        <v/>
      </c>
      <c r="M113" s="2" t="str">
        <f t="shared" si="2"/>
        <v/>
      </c>
      <c r="N113" s="2" t="str">
        <f>IF($D113="","",INDEX('02_能力差距自评'!$J:$J,MATCH($D113,'02_能力差距自评'!$F:$F,0)))</f>
        <v/>
      </c>
      <c r="O113" s="2" t="str">
        <f>IF($D113="","",INDEX('02_能力差距自评'!$K:$K,MATCH($D113,'02_能力差距自评'!$F:$F,0)))</f>
        <v/>
      </c>
      <c r="P113" s="2"/>
      <c r="Q113" s="2"/>
      <c r="R113" s="2"/>
      <c r="S113" s="8" t="str">
        <f t="shared" si="3"/>
        <v/>
      </c>
      <c r="T113" s="8"/>
      <c r="U113" s="8"/>
      <c r="V113" s="8"/>
    </row>
    <row r="114" spans="1:22" ht="13.9">
      <c r="A114" s="2" t="str">
        <f>IF($D114="","","LP"&amp;TEXT(ROWS($A$2:A114),"000"))</f>
        <v/>
      </c>
      <c r="B114" s="2" t="str">
        <f>IF($D114="","",IFERROR(INDEX('02_能力差距自评'!$Q:$Q,MATCH($D114,'02_能力差距自评'!$F:$F,0)),""))</f>
        <v/>
      </c>
      <c r="C114" s="2" t="str">
        <f>IF($D114="","",IFERROR(INDEX('02_能力差距自评'!$R:$R,MATCH($D114,'02_能力差距自评'!$F:$F,0)),""))</f>
        <v/>
      </c>
      <c r="D114" s="2" t="str">
        <f>IFERROR(INDEX('02_能力差距自评'!$F$2:$F$311,MATCH(ROWS($D$2:D114),'02_能力差距自评'!$W$2:$W$311,0)),"")</f>
        <v/>
      </c>
      <c r="E114" s="2" t="str">
        <f>IF($D114="","",INDEX('02_能力差距自评'!$G:$G,MATCH($D114,'02_能力差距自评'!$F:$F,0)))</f>
        <v/>
      </c>
      <c r="F114" s="2" t="str">
        <f>IF($D114="","",INDEX('02_能力差距自评'!$C:$C,MATCH($D114,'02_能力差距自评'!$F:$F,0)))</f>
        <v/>
      </c>
      <c r="G114" s="2" t="str">
        <f>IF($D114="","",INDEX('02_能力差距自评'!$E:$E,MATCH($D114,'02_能力差距自评'!$F:$F,0)))</f>
        <v/>
      </c>
      <c r="H114" s="2" t="str">
        <f>IF($D114="","",INDEX('02_能力差距自评'!$L:$L,MATCH($D114,'02_能力差距自评'!$F:$F,0)))</f>
        <v/>
      </c>
      <c r="I114" s="2" t="str">
        <f>IF($D114="","",INDEX('02_能力差距自评'!$M:$M,MATCH($D114,'02_能力差距自评'!$F:$F,0)))</f>
        <v/>
      </c>
      <c r="J114" s="2" t="str">
        <f>IF($D114="","",INDEX('02_能力差距自评'!$N:$N,MATCH($D114,'02_能力差距自评'!$F:$F,0)))</f>
        <v/>
      </c>
      <c r="K114" s="4" t="str">
        <f>IF($D114="","",INDEX('02_能力差距自评'!$O:$O,MATCH($D114,'02_能力差距自评'!$F:$F,0)))</f>
        <v/>
      </c>
      <c r="L114" s="4" t="str">
        <f>IF($D114="","",INDEX('02_能力差距自评'!$I:$I,MATCH($D114,'02_能力差距自评'!$F:$F,0)))</f>
        <v/>
      </c>
      <c r="M114" s="2" t="str">
        <f t="shared" si="2"/>
        <v/>
      </c>
      <c r="N114" s="2" t="str">
        <f>IF($D114="","",INDEX('02_能力差距自评'!$J:$J,MATCH($D114,'02_能力差距自评'!$F:$F,0)))</f>
        <v/>
      </c>
      <c r="O114" s="2" t="str">
        <f>IF($D114="","",INDEX('02_能力差距自评'!$K:$K,MATCH($D114,'02_能力差距自评'!$F:$F,0)))</f>
        <v/>
      </c>
      <c r="P114" s="2"/>
      <c r="Q114" s="2"/>
      <c r="R114" s="2"/>
      <c r="S114" s="8" t="str">
        <f t="shared" si="3"/>
        <v/>
      </c>
      <c r="T114" s="8"/>
      <c r="U114" s="8"/>
      <c r="V114" s="8"/>
    </row>
    <row r="115" spans="1:22" ht="13.9">
      <c r="A115" s="2" t="str">
        <f>IF($D115="","","LP"&amp;TEXT(ROWS($A$2:A115),"000"))</f>
        <v/>
      </c>
      <c r="B115" s="2" t="str">
        <f>IF($D115="","",IFERROR(INDEX('02_能力差距自评'!$Q:$Q,MATCH($D115,'02_能力差距自评'!$F:$F,0)),""))</f>
        <v/>
      </c>
      <c r="C115" s="2" t="str">
        <f>IF($D115="","",IFERROR(INDEX('02_能力差距自评'!$R:$R,MATCH($D115,'02_能力差距自评'!$F:$F,0)),""))</f>
        <v/>
      </c>
      <c r="D115" s="2" t="str">
        <f>IFERROR(INDEX('02_能力差距自评'!$F$2:$F$311,MATCH(ROWS($D$2:D115),'02_能力差距自评'!$W$2:$W$311,0)),"")</f>
        <v/>
      </c>
      <c r="E115" s="2" t="str">
        <f>IF($D115="","",INDEX('02_能力差距自评'!$G:$G,MATCH($D115,'02_能力差距自评'!$F:$F,0)))</f>
        <v/>
      </c>
      <c r="F115" s="2" t="str">
        <f>IF($D115="","",INDEX('02_能力差距自评'!$C:$C,MATCH($D115,'02_能力差距自评'!$F:$F,0)))</f>
        <v/>
      </c>
      <c r="G115" s="2" t="str">
        <f>IF($D115="","",INDEX('02_能力差距自评'!$E:$E,MATCH($D115,'02_能力差距自评'!$F:$F,0)))</f>
        <v/>
      </c>
      <c r="H115" s="2" t="str">
        <f>IF($D115="","",INDEX('02_能力差距自评'!$L:$L,MATCH($D115,'02_能力差距自评'!$F:$F,0)))</f>
        <v/>
      </c>
      <c r="I115" s="2" t="str">
        <f>IF($D115="","",INDEX('02_能力差距自评'!$M:$M,MATCH($D115,'02_能力差距自评'!$F:$F,0)))</f>
        <v/>
      </c>
      <c r="J115" s="2" t="str">
        <f>IF($D115="","",INDEX('02_能力差距自评'!$N:$N,MATCH($D115,'02_能力差距自评'!$F:$F,0)))</f>
        <v/>
      </c>
      <c r="K115" s="4" t="str">
        <f>IF($D115="","",INDEX('02_能力差距自评'!$O:$O,MATCH($D115,'02_能力差距自评'!$F:$F,0)))</f>
        <v/>
      </c>
      <c r="L115" s="4" t="str">
        <f>IF($D115="","",INDEX('02_能力差距自评'!$I:$I,MATCH($D115,'02_能力差距自评'!$F:$F,0)))</f>
        <v/>
      </c>
      <c r="M115" s="2" t="str">
        <f t="shared" si="2"/>
        <v/>
      </c>
      <c r="N115" s="2" t="str">
        <f>IF($D115="","",INDEX('02_能力差距自评'!$J:$J,MATCH($D115,'02_能力差距自评'!$F:$F,0)))</f>
        <v/>
      </c>
      <c r="O115" s="2" t="str">
        <f>IF($D115="","",INDEX('02_能力差距自评'!$K:$K,MATCH($D115,'02_能力差距自评'!$F:$F,0)))</f>
        <v/>
      </c>
      <c r="P115" s="2"/>
      <c r="Q115" s="2"/>
      <c r="R115" s="2"/>
      <c r="S115" s="8" t="str">
        <f t="shared" si="3"/>
        <v/>
      </c>
      <c r="T115" s="8"/>
      <c r="U115" s="8"/>
      <c r="V115" s="8"/>
    </row>
    <row r="116" spans="1:22" ht="13.9">
      <c r="A116" s="2" t="str">
        <f>IF($D116="","","LP"&amp;TEXT(ROWS($A$2:A116),"000"))</f>
        <v/>
      </c>
      <c r="B116" s="2" t="str">
        <f>IF($D116="","",IFERROR(INDEX('02_能力差距自评'!$Q:$Q,MATCH($D116,'02_能力差距自评'!$F:$F,0)),""))</f>
        <v/>
      </c>
      <c r="C116" s="2" t="str">
        <f>IF($D116="","",IFERROR(INDEX('02_能力差距自评'!$R:$R,MATCH($D116,'02_能力差距自评'!$F:$F,0)),""))</f>
        <v/>
      </c>
      <c r="D116" s="2" t="str">
        <f>IFERROR(INDEX('02_能力差距自评'!$F$2:$F$311,MATCH(ROWS($D$2:D116),'02_能力差距自评'!$W$2:$W$311,0)),"")</f>
        <v/>
      </c>
      <c r="E116" s="2" t="str">
        <f>IF($D116="","",INDEX('02_能力差距自评'!$G:$G,MATCH($D116,'02_能力差距自评'!$F:$F,0)))</f>
        <v/>
      </c>
      <c r="F116" s="2" t="str">
        <f>IF($D116="","",INDEX('02_能力差距自评'!$C:$C,MATCH($D116,'02_能力差距自评'!$F:$F,0)))</f>
        <v/>
      </c>
      <c r="G116" s="2" t="str">
        <f>IF($D116="","",INDEX('02_能力差距自评'!$E:$E,MATCH($D116,'02_能力差距自评'!$F:$F,0)))</f>
        <v/>
      </c>
      <c r="H116" s="2" t="str">
        <f>IF($D116="","",INDEX('02_能力差距自评'!$L:$L,MATCH($D116,'02_能力差距自评'!$F:$F,0)))</f>
        <v/>
      </c>
      <c r="I116" s="2" t="str">
        <f>IF($D116="","",INDEX('02_能力差距自评'!$M:$M,MATCH($D116,'02_能力差距自评'!$F:$F,0)))</f>
        <v/>
      </c>
      <c r="J116" s="2" t="str">
        <f>IF($D116="","",INDEX('02_能力差距自评'!$N:$N,MATCH($D116,'02_能力差距自评'!$F:$F,0)))</f>
        <v/>
      </c>
      <c r="K116" s="4" t="str">
        <f>IF($D116="","",INDEX('02_能力差距自评'!$O:$O,MATCH($D116,'02_能力差距自评'!$F:$F,0)))</f>
        <v/>
      </c>
      <c r="L116" s="4" t="str">
        <f>IF($D116="","",INDEX('02_能力差距自评'!$I:$I,MATCH($D116,'02_能力差距自评'!$F:$F,0)))</f>
        <v/>
      </c>
      <c r="M116" s="2" t="str">
        <f t="shared" si="2"/>
        <v/>
      </c>
      <c r="N116" s="2" t="str">
        <f>IF($D116="","",INDEX('02_能力差距自评'!$J:$J,MATCH($D116,'02_能力差距自评'!$F:$F,0)))</f>
        <v/>
      </c>
      <c r="O116" s="2" t="str">
        <f>IF($D116="","",INDEX('02_能力差距自评'!$K:$K,MATCH($D116,'02_能力差距自评'!$F:$F,0)))</f>
        <v/>
      </c>
      <c r="P116" s="2"/>
      <c r="Q116" s="2"/>
      <c r="R116" s="2"/>
      <c r="S116" s="8" t="str">
        <f t="shared" si="3"/>
        <v/>
      </c>
      <c r="T116" s="8"/>
      <c r="U116" s="8"/>
      <c r="V116" s="8"/>
    </row>
    <row r="117" spans="1:22" ht="13.9">
      <c r="A117" s="2" t="str">
        <f>IF($D117="","","LP"&amp;TEXT(ROWS($A$2:A117),"000"))</f>
        <v/>
      </c>
      <c r="B117" s="2" t="str">
        <f>IF($D117="","",IFERROR(INDEX('02_能力差距自评'!$Q:$Q,MATCH($D117,'02_能力差距自评'!$F:$F,0)),""))</f>
        <v/>
      </c>
      <c r="C117" s="2" t="str">
        <f>IF($D117="","",IFERROR(INDEX('02_能力差距自评'!$R:$R,MATCH($D117,'02_能力差距自评'!$F:$F,0)),""))</f>
        <v/>
      </c>
      <c r="D117" s="2" t="str">
        <f>IFERROR(INDEX('02_能力差距自评'!$F$2:$F$311,MATCH(ROWS($D$2:D117),'02_能力差距自评'!$W$2:$W$311,0)),"")</f>
        <v/>
      </c>
      <c r="E117" s="2" t="str">
        <f>IF($D117="","",INDEX('02_能力差距自评'!$G:$G,MATCH($D117,'02_能力差距自评'!$F:$F,0)))</f>
        <v/>
      </c>
      <c r="F117" s="2" t="str">
        <f>IF($D117="","",INDEX('02_能力差距自评'!$C:$C,MATCH($D117,'02_能力差距自评'!$F:$F,0)))</f>
        <v/>
      </c>
      <c r="G117" s="2" t="str">
        <f>IF($D117="","",INDEX('02_能力差距自评'!$E:$E,MATCH($D117,'02_能力差距自评'!$F:$F,0)))</f>
        <v/>
      </c>
      <c r="H117" s="2" t="str">
        <f>IF($D117="","",INDEX('02_能力差距自评'!$L:$L,MATCH($D117,'02_能力差距自评'!$F:$F,0)))</f>
        <v/>
      </c>
      <c r="I117" s="2" t="str">
        <f>IF($D117="","",INDEX('02_能力差距自评'!$M:$M,MATCH($D117,'02_能力差距自评'!$F:$F,0)))</f>
        <v/>
      </c>
      <c r="J117" s="2" t="str">
        <f>IF($D117="","",INDEX('02_能力差距自评'!$N:$N,MATCH($D117,'02_能力差距自评'!$F:$F,0)))</f>
        <v/>
      </c>
      <c r="K117" s="4" t="str">
        <f>IF($D117="","",INDEX('02_能力差距自评'!$O:$O,MATCH($D117,'02_能力差距自评'!$F:$F,0)))</f>
        <v/>
      </c>
      <c r="L117" s="4" t="str">
        <f>IF($D117="","",INDEX('02_能力差距自评'!$I:$I,MATCH($D117,'02_能力差距自评'!$F:$F,0)))</f>
        <v/>
      </c>
      <c r="M117" s="2" t="str">
        <f t="shared" si="2"/>
        <v/>
      </c>
      <c r="N117" s="2" t="str">
        <f>IF($D117="","",INDEX('02_能力差距自评'!$J:$J,MATCH($D117,'02_能力差距自评'!$F:$F,0)))</f>
        <v/>
      </c>
      <c r="O117" s="2" t="str">
        <f>IF($D117="","",INDEX('02_能力差距自评'!$K:$K,MATCH($D117,'02_能力差距自评'!$F:$F,0)))</f>
        <v/>
      </c>
      <c r="P117" s="2"/>
      <c r="Q117" s="2"/>
      <c r="R117" s="2"/>
      <c r="S117" s="8" t="str">
        <f t="shared" si="3"/>
        <v/>
      </c>
      <c r="T117" s="8"/>
      <c r="U117" s="8"/>
      <c r="V117" s="8"/>
    </row>
    <row r="118" spans="1:22" ht="13.9">
      <c r="A118" s="2" t="str">
        <f>IF($D118="","","LP"&amp;TEXT(ROWS($A$2:A118),"000"))</f>
        <v/>
      </c>
      <c r="B118" s="2" t="str">
        <f>IF($D118="","",IFERROR(INDEX('02_能力差距自评'!$Q:$Q,MATCH($D118,'02_能力差距自评'!$F:$F,0)),""))</f>
        <v/>
      </c>
      <c r="C118" s="2" t="str">
        <f>IF($D118="","",IFERROR(INDEX('02_能力差距自评'!$R:$R,MATCH($D118,'02_能力差距自评'!$F:$F,0)),""))</f>
        <v/>
      </c>
      <c r="D118" s="2" t="str">
        <f>IFERROR(INDEX('02_能力差距自评'!$F$2:$F$311,MATCH(ROWS($D$2:D118),'02_能力差距自评'!$W$2:$W$311,0)),"")</f>
        <v/>
      </c>
      <c r="E118" s="2" t="str">
        <f>IF($D118="","",INDEX('02_能力差距自评'!$G:$G,MATCH($D118,'02_能力差距自评'!$F:$F,0)))</f>
        <v/>
      </c>
      <c r="F118" s="2" t="str">
        <f>IF($D118="","",INDEX('02_能力差距自评'!$C:$C,MATCH($D118,'02_能力差距自评'!$F:$F,0)))</f>
        <v/>
      </c>
      <c r="G118" s="2" t="str">
        <f>IF($D118="","",INDEX('02_能力差距自评'!$E:$E,MATCH($D118,'02_能力差距自评'!$F:$F,0)))</f>
        <v/>
      </c>
      <c r="H118" s="2" t="str">
        <f>IF($D118="","",INDEX('02_能力差距自评'!$L:$L,MATCH($D118,'02_能力差距自评'!$F:$F,0)))</f>
        <v/>
      </c>
      <c r="I118" s="2" t="str">
        <f>IF($D118="","",INDEX('02_能力差距自评'!$M:$M,MATCH($D118,'02_能力差距自评'!$F:$F,0)))</f>
        <v/>
      </c>
      <c r="J118" s="2" t="str">
        <f>IF($D118="","",INDEX('02_能力差距自评'!$N:$N,MATCH($D118,'02_能力差距自评'!$F:$F,0)))</f>
        <v/>
      </c>
      <c r="K118" s="4" t="str">
        <f>IF($D118="","",INDEX('02_能力差距自评'!$O:$O,MATCH($D118,'02_能力差距自评'!$F:$F,0)))</f>
        <v/>
      </c>
      <c r="L118" s="4" t="str">
        <f>IF($D118="","",INDEX('02_能力差距自评'!$I:$I,MATCH($D118,'02_能力差距自评'!$F:$F,0)))</f>
        <v/>
      </c>
      <c r="M118" s="2" t="str">
        <f t="shared" si="2"/>
        <v/>
      </c>
      <c r="N118" s="2" t="str">
        <f>IF($D118="","",INDEX('02_能力差距自评'!$J:$J,MATCH($D118,'02_能力差距自评'!$F:$F,0)))</f>
        <v/>
      </c>
      <c r="O118" s="2" t="str">
        <f>IF($D118="","",INDEX('02_能力差距自评'!$K:$K,MATCH($D118,'02_能力差距自评'!$F:$F,0)))</f>
        <v/>
      </c>
      <c r="P118" s="2"/>
      <c r="Q118" s="2"/>
      <c r="R118" s="2"/>
      <c r="S118" s="8" t="str">
        <f t="shared" si="3"/>
        <v/>
      </c>
      <c r="T118" s="8"/>
      <c r="U118" s="8"/>
      <c r="V118" s="8"/>
    </row>
    <row r="119" spans="1:22" ht="13.9">
      <c r="A119" s="2" t="str">
        <f>IF($D119="","","LP"&amp;TEXT(ROWS($A$2:A119),"000"))</f>
        <v/>
      </c>
      <c r="B119" s="2" t="str">
        <f>IF($D119="","",IFERROR(INDEX('02_能力差距自评'!$Q:$Q,MATCH($D119,'02_能力差距自评'!$F:$F,0)),""))</f>
        <v/>
      </c>
      <c r="C119" s="2" t="str">
        <f>IF($D119="","",IFERROR(INDEX('02_能力差距自评'!$R:$R,MATCH($D119,'02_能力差距自评'!$F:$F,0)),""))</f>
        <v/>
      </c>
      <c r="D119" s="2" t="str">
        <f>IFERROR(INDEX('02_能力差距自评'!$F$2:$F$311,MATCH(ROWS($D$2:D119),'02_能力差距自评'!$W$2:$W$311,0)),"")</f>
        <v/>
      </c>
      <c r="E119" s="2" t="str">
        <f>IF($D119="","",INDEX('02_能力差距自评'!$G:$G,MATCH($D119,'02_能力差距自评'!$F:$F,0)))</f>
        <v/>
      </c>
      <c r="F119" s="2" t="str">
        <f>IF($D119="","",INDEX('02_能力差距自评'!$C:$C,MATCH($D119,'02_能力差距自评'!$F:$F,0)))</f>
        <v/>
      </c>
      <c r="G119" s="2" t="str">
        <f>IF($D119="","",INDEX('02_能力差距自评'!$E:$E,MATCH($D119,'02_能力差距自评'!$F:$F,0)))</f>
        <v/>
      </c>
      <c r="H119" s="2" t="str">
        <f>IF($D119="","",INDEX('02_能力差距自评'!$L:$L,MATCH($D119,'02_能力差距自评'!$F:$F,0)))</f>
        <v/>
      </c>
      <c r="I119" s="2" t="str">
        <f>IF($D119="","",INDEX('02_能力差距自评'!$M:$M,MATCH($D119,'02_能力差距自评'!$F:$F,0)))</f>
        <v/>
      </c>
      <c r="J119" s="2" t="str">
        <f>IF($D119="","",INDEX('02_能力差距自评'!$N:$N,MATCH($D119,'02_能力差距自评'!$F:$F,0)))</f>
        <v/>
      </c>
      <c r="K119" s="4" t="str">
        <f>IF($D119="","",INDEX('02_能力差距自评'!$O:$O,MATCH($D119,'02_能力差距自评'!$F:$F,0)))</f>
        <v/>
      </c>
      <c r="L119" s="4" t="str">
        <f>IF($D119="","",INDEX('02_能力差距自评'!$I:$I,MATCH($D119,'02_能力差距自评'!$F:$F,0)))</f>
        <v/>
      </c>
      <c r="M119" s="2" t="str">
        <f t="shared" si="2"/>
        <v/>
      </c>
      <c r="N119" s="2" t="str">
        <f>IF($D119="","",INDEX('02_能力差距自评'!$J:$J,MATCH($D119,'02_能力差距自评'!$F:$F,0)))</f>
        <v/>
      </c>
      <c r="O119" s="2" t="str">
        <f>IF($D119="","",INDEX('02_能力差距自评'!$K:$K,MATCH($D119,'02_能力差距自评'!$F:$F,0)))</f>
        <v/>
      </c>
      <c r="P119" s="2"/>
      <c r="Q119" s="2"/>
      <c r="R119" s="2"/>
      <c r="S119" s="8" t="str">
        <f t="shared" si="3"/>
        <v/>
      </c>
      <c r="T119" s="8"/>
      <c r="U119" s="8"/>
      <c r="V119" s="8"/>
    </row>
    <row r="120" spans="1:22" ht="13.9">
      <c r="A120" s="2" t="str">
        <f>IF($D120="","","LP"&amp;TEXT(ROWS($A$2:A120),"000"))</f>
        <v/>
      </c>
      <c r="B120" s="2" t="str">
        <f>IF($D120="","",IFERROR(INDEX('02_能力差距自评'!$Q:$Q,MATCH($D120,'02_能力差距自评'!$F:$F,0)),""))</f>
        <v/>
      </c>
      <c r="C120" s="2" t="str">
        <f>IF($D120="","",IFERROR(INDEX('02_能力差距自评'!$R:$R,MATCH($D120,'02_能力差距自评'!$F:$F,0)),""))</f>
        <v/>
      </c>
      <c r="D120" s="2" t="str">
        <f>IFERROR(INDEX('02_能力差距自评'!$F$2:$F$311,MATCH(ROWS($D$2:D120),'02_能力差距自评'!$W$2:$W$311,0)),"")</f>
        <v/>
      </c>
      <c r="E120" s="2" t="str">
        <f>IF($D120="","",INDEX('02_能力差距自评'!$G:$G,MATCH($D120,'02_能力差距自评'!$F:$F,0)))</f>
        <v/>
      </c>
      <c r="F120" s="2" t="str">
        <f>IF($D120="","",INDEX('02_能力差距自评'!$C:$C,MATCH($D120,'02_能力差距自评'!$F:$F,0)))</f>
        <v/>
      </c>
      <c r="G120" s="2" t="str">
        <f>IF($D120="","",INDEX('02_能力差距自评'!$E:$E,MATCH($D120,'02_能力差距自评'!$F:$F,0)))</f>
        <v/>
      </c>
      <c r="H120" s="2" t="str">
        <f>IF($D120="","",INDEX('02_能力差距自评'!$L:$L,MATCH($D120,'02_能力差距自评'!$F:$F,0)))</f>
        <v/>
      </c>
      <c r="I120" s="2" t="str">
        <f>IF($D120="","",INDEX('02_能力差距自评'!$M:$M,MATCH($D120,'02_能力差距自评'!$F:$F,0)))</f>
        <v/>
      </c>
      <c r="J120" s="2" t="str">
        <f>IF($D120="","",INDEX('02_能力差距自评'!$N:$N,MATCH($D120,'02_能力差距自评'!$F:$F,0)))</f>
        <v/>
      </c>
      <c r="K120" s="4" t="str">
        <f>IF($D120="","",INDEX('02_能力差距自评'!$O:$O,MATCH($D120,'02_能力差距自评'!$F:$F,0)))</f>
        <v/>
      </c>
      <c r="L120" s="4" t="str">
        <f>IF($D120="","",INDEX('02_能力差距自评'!$I:$I,MATCH($D120,'02_能力差距自评'!$F:$F,0)))</f>
        <v/>
      </c>
      <c r="M120" s="2" t="str">
        <f t="shared" si="2"/>
        <v/>
      </c>
      <c r="N120" s="2" t="str">
        <f>IF($D120="","",INDEX('02_能力差距自评'!$J:$J,MATCH($D120,'02_能力差距自评'!$F:$F,0)))</f>
        <v/>
      </c>
      <c r="O120" s="2" t="str">
        <f>IF($D120="","",INDEX('02_能力差距自评'!$K:$K,MATCH($D120,'02_能力差距自评'!$F:$F,0)))</f>
        <v/>
      </c>
      <c r="P120" s="2"/>
      <c r="Q120" s="2"/>
      <c r="R120" s="2"/>
      <c r="S120" s="8" t="str">
        <f t="shared" si="3"/>
        <v/>
      </c>
      <c r="T120" s="8"/>
      <c r="U120" s="8"/>
      <c r="V120" s="8"/>
    </row>
    <row r="121" spans="1:22" ht="13.9">
      <c r="A121" s="2" t="str">
        <f>IF($D121="","","LP"&amp;TEXT(ROWS($A$2:A121),"000"))</f>
        <v/>
      </c>
      <c r="B121" s="2" t="str">
        <f>IF($D121="","",IFERROR(INDEX('02_能力差距自评'!$Q:$Q,MATCH($D121,'02_能力差距自评'!$F:$F,0)),""))</f>
        <v/>
      </c>
      <c r="C121" s="2" t="str">
        <f>IF($D121="","",IFERROR(INDEX('02_能力差距自评'!$R:$R,MATCH($D121,'02_能力差距自评'!$F:$F,0)),""))</f>
        <v/>
      </c>
      <c r="D121" s="2" t="str">
        <f>IFERROR(INDEX('02_能力差距自评'!$F$2:$F$311,MATCH(ROWS($D$2:D121),'02_能力差距自评'!$W$2:$W$311,0)),"")</f>
        <v/>
      </c>
      <c r="E121" s="2" t="str">
        <f>IF($D121="","",INDEX('02_能力差距自评'!$G:$G,MATCH($D121,'02_能力差距自评'!$F:$F,0)))</f>
        <v/>
      </c>
      <c r="F121" s="2" t="str">
        <f>IF($D121="","",INDEX('02_能力差距自评'!$C:$C,MATCH($D121,'02_能力差距自评'!$F:$F,0)))</f>
        <v/>
      </c>
      <c r="G121" s="2" t="str">
        <f>IF($D121="","",INDEX('02_能力差距自评'!$E:$E,MATCH($D121,'02_能力差距自评'!$F:$F,0)))</f>
        <v/>
      </c>
      <c r="H121" s="2" t="str">
        <f>IF($D121="","",INDEX('02_能力差距自评'!$L:$L,MATCH($D121,'02_能力差距自评'!$F:$F,0)))</f>
        <v/>
      </c>
      <c r="I121" s="2" t="str">
        <f>IF($D121="","",INDEX('02_能力差距自评'!$M:$M,MATCH($D121,'02_能力差距自评'!$F:$F,0)))</f>
        <v/>
      </c>
      <c r="J121" s="2" t="str">
        <f>IF($D121="","",INDEX('02_能力差距自评'!$N:$N,MATCH($D121,'02_能力差距自评'!$F:$F,0)))</f>
        <v/>
      </c>
      <c r="K121" s="4" t="str">
        <f>IF($D121="","",INDEX('02_能力差距自评'!$O:$O,MATCH($D121,'02_能力差距自评'!$F:$F,0)))</f>
        <v/>
      </c>
      <c r="L121" s="4" t="str">
        <f>IF($D121="","",INDEX('02_能力差距自评'!$I:$I,MATCH($D121,'02_能力差距自评'!$F:$F,0)))</f>
        <v/>
      </c>
      <c r="M121" s="2" t="str">
        <f t="shared" si="2"/>
        <v/>
      </c>
      <c r="N121" s="2" t="str">
        <f>IF($D121="","",INDEX('02_能力差距自评'!$J:$J,MATCH($D121,'02_能力差距自评'!$F:$F,0)))</f>
        <v/>
      </c>
      <c r="O121" s="2" t="str">
        <f>IF($D121="","",INDEX('02_能力差距自评'!$K:$K,MATCH($D121,'02_能力差距自评'!$F:$F,0)))</f>
        <v/>
      </c>
      <c r="P121" s="2"/>
      <c r="Q121" s="2"/>
      <c r="R121" s="2"/>
      <c r="S121" s="8" t="str">
        <f t="shared" si="3"/>
        <v/>
      </c>
      <c r="T121" s="8"/>
      <c r="U121" s="8"/>
      <c r="V121" s="8"/>
    </row>
    <row r="122" spans="1:22">
      <c r="A122" s="8" t="str">
        <f>IF($D122="","","LP"&amp;TEXT(ROWS($A$2:A122),"000"))</f>
        <v/>
      </c>
      <c r="B122" s="8" t="str">
        <f>IF($D122="","",IFERROR(INDEX('02_能力差距自评'!$Q:$Q,MATCH($D122,'02_能力差距自评'!$F:$F,0)),""))</f>
        <v/>
      </c>
      <c r="C122" s="8" t="str">
        <f>IF($D122="","",IFERROR(INDEX('02_能力差距自评'!$R:$R,MATCH($D122,'02_能力差距自评'!$F:$F,0)),""))</f>
        <v/>
      </c>
      <c r="D122" s="8" t="str">
        <f>IFERROR(INDEX('02_能力差距自评'!$F$2:$F$311,MATCH(ROWS($D$2:D122),'02_能力差距自评'!$W$2:$W$311,0)),"")</f>
        <v/>
      </c>
      <c r="E122" s="8" t="str">
        <f>IF($D122="","",INDEX('02_能力差距自评'!$G:$G,MATCH($D122,'02_能力差距自评'!$F:$F,0)))</f>
        <v/>
      </c>
      <c r="F122" s="8" t="str">
        <f>IF($D122="","",INDEX('02_能力差距自评'!$C:$C,MATCH($D122,'02_能力差距自评'!$F:$F,0)))</f>
        <v/>
      </c>
      <c r="G122" s="8" t="str">
        <f>IF($D122="","",INDEX('02_能力差距自评'!$E:$E,MATCH($D122,'02_能力差距自评'!$F:$F,0)))</f>
        <v/>
      </c>
      <c r="H122" s="8" t="str">
        <f>IF($D122="","",INDEX('02_能力差距自评'!$L:$L,MATCH($D122,'02_能力差距自评'!$F:$F,0)))</f>
        <v/>
      </c>
      <c r="I122" s="8" t="str">
        <f>IF($D122="","",INDEX('02_能力差距自评'!$M:$M,MATCH($D122,'02_能力差距自评'!$F:$F,0)))</f>
        <v/>
      </c>
      <c r="J122" s="8" t="str">
        <f>IF($D122="","",INDEX('02_能力差距自评'!$N:$N,MATCH($D122,'02_能力差距自评'!$F:$F,0)))</f>
        <v/>
      </c>
      <c r="K122" s="8" t="str">
        <f>IF($D122="","",INDEX('02_能力差距自评'!$O:$O,MATCH($D122,'02_能力差距自评'!$F:$F,0)))</f>
        <v/>
      </c>
      <c r="L122" s="8" t="str">
        <f>IF($D122="","",INDEX('02_能力差距自评'!$I:$I,MATCH($D122,'02_能力差距自评'!$F:$F,0)))</f>
        <v/>
      </c>
      <c r="M122" s="8" t="str">
        <f t="shared" si="2"/>
        <v/>
      </c>
      <c r="N122" s="8" t="str">
        <f>IF($D122="","",INDEX('02_能力差距自评'!$J:$J,MATCH($D122,'02_能力差距自评'!$F:$F,0)))</f>
        <v/>
      </c>
      <c r="O122" s="8" t="str">
        <f>IF($D122="","",INDEX('02_能力差距自评'!$K:$K,MATCH($D122,'02_能力差距自评'!$F:$F,0)))</f>
        <v/>
      </c>
      <c r="P122" s="8"/>
      <c r="Q122" s="8"/>
      <c r="R122" s="8"/>
      <c r="S122" s="8" t="str">
        <f t="shared" si="3"/>
        <v/>
      </c>
      <c r="T122" s="8"/>
      <c r="U122" s="8"/>
      <c r="V122" s="8"/>
    </row>
    <row r="123" spans="1:22">
      <c r="A123" s="8" t="str">
        <f>IF($D123="","","LP"&amp;TEXT(ROWS($A$2:A123),"000"))</f>
        <v/>
      </c>
      <c r="B123" s="8" t="str">
        <f>IF($D123="","",IFERROR(INDEX('02_能力差距自评'!$Q:$Q,MATCH($D123,'02_能力差距自评'!$F:$F,0)),""))</f>
        <v/>
      </c>
      <c r="C123" s="8" t="str">
        <f>IF($D123="","",IFERROR(INDEX('02_能力差距自评'!$R:$R,MATCH($D123,'02_能力差距自评'!$F:$F,0)),""))</f>
        <v/>
      </c>
      <c r="D123" s="8" t="str">
        <f>IFERROR(INDEX('02_能力差距自评'!$F$2:$F$311,MATCH(ROWS($D$2:D123),'02_能力差距自评'!$W$2:$W$311,0)),"")</f>
        <v/>
      </c>
      <c r="E123" s="8" t="str">
        <f>IF($D123="","",INDEX('02_能力差距自评'!$G:$G,MATCH($D123,'02_能力差距自评'!$F:$F,0)))</f>
        <v/>
      </c>
      <c r="F123" s="8" t="str">
        <f>IF($D123="","",INDEX('02_能力差距自评'!$C:$C,MATCH($D123,'02_能力差距自评'!$F:$F,0)))</f>
        <v/>
      </c>
      <c r="G123" s="8" t="str">
        <f>IF($D123="","",INDEX('02_能力差距自评'!$E:$E,MATCH($D123,'02_能力差距自评'!$F:$F,0)))</f>
        <v/>
      </c>
      <c r="H123" s="8" t="str">
        <f>IF($D123="","",INDEX('02_能力差距自评'!$L:$L,MATCH($D123,'02_能力差距自评'!$F:$F,0)))</f>
        <v/>
      </c>
      <c r="I123" s="8" t="str">
        <f>IF($D123="","",INDEX('02_能力差距自评'!$M:$M,MATCH($D123,'02_能力差距自评'!$F:$F,0)))</f>
        <v/>
      </c>
      <c r="J123" s="8" t="str">
        <f>IF($D123="","",INDEX('02_能力差距自评'!$N:$N,MATCH($D123,'02_能力差距自评'!$F:$F,0)))</f>
        <v/>
      </c>
      <c r="K123" s="8" t="str">
        <f>IF($D123="","",INDEX('02_能力差距自评'!$O:$O,MATCH($D123,'02_能力差距自评'!$F:$F,0)))</f>
        <v/>
      </c>
      <c r="L123" s="8" t="str">
        <f>IF($D123="","",INDEX('02_能力差距自评'!$I:$I,MATCH($D123,'02_能力差距自评'!$F:$F,0)))</f>
        <v/>
      </c>
      <c r="M123" s="8" t="str">
        <f t="shared" si="2"/>
        <v/>
      </c>
      <c r="N123" s="8" t="str">
        <f>IF($D123="","",INDEX('02_能力差距自评'!$J:$J,MATCH($D123,'02_能力差距自评'!$F:$F,0)))</f>
        <v/>
      </c>
      <c r="O123" s="8" t="str">
        <f>IF($D123="","",INDEX('02_能力差距自评'!$K:$K,MATCH($D123,'02_能力差距自评'!$F:$F,0)))</f>
        <v/>
      </c>
      <c r="P123" s="8"/>
      <c r="Q123" s="8"/>
      <c r="R123" s="8"/>
      <c r="S123" s="8" t="str">
        <f t="shared" si="3"/>
        <v/>
      </c>
      <c r="T123" s="8"/>
      <c r="U123" s="8"/>
      <c r="V123" s="8"/>
    </row>
    <row r="124" spans="1:22">
      <c r="A124" s="8" t="str">
        <f>IF($D124="","","LP"&amp;TEXT(ROWS($A$2:A124),"000"))</f>
        <v/>
      </c>
      <c r="B124" s="8" t="str">
        <f>IF($D124="","",IFERROR(INDEX('02_能力差距自评'!$Q:$Q,MATCH($D124,'02_能力差距自评'!$F:$F,0)),""))</f>
        <v/>
      </c>
      <c r="C124" s="8" t="str">
        <f>IF($D124="","",IFERROR(INDEX('02_能力差距自评'!$R:$R,MATCH($D124,'02_能力差距自评'!$F:$F,0)),""))</f>
        <v/>
      </c>
      <c r="D124" s="8" t="str">
        <f>IFERROR(INDEX('02_能力差距自评'!$F$2:$F$311,MATCH(ROWS($D$2:D124),'02_能力差距自评'!$W$2:$W$311,0)),"")</f>
        <v/>
      </c>
      <c r="E124" s="8" t="str">
        <f>IF($D124="","",INDEX('02_能力差距自评'!$G:$G,MATCH($D124,'02_能力差距自评'!$F:$F,0)))</f>
        <v/>
      </c>
      <c r="F124" s="8" t="str">
        <f>IF($D124="","",INDEX('02_能力差距自评'!$C:$C,MATCH($D124,'02_能力差距自评'!$F:$F,0)))</f>
        <v/>
      </c>
      <c r="G124" s="8" t="str">
        <f>IF($D124="","",INDEX('02_能力差距自评'!$E:$E,MATCH($D124,'02_能力差距自评'!$F:$F,0)))</f>
        <v/>
      </c>
      <c r="H124" s="8" t="str">
        <f>IF($D124="","",INDEX('02_能力差距自评'!$L:$L,MATCH($D124,'02_能力差距自评'!$F:$F,0)))</f>
        <v/>
      </c>
      <c r="I124" s="8" t="str">
        <f>IF($D124="","",INDEX('02_能力差距自评'!$M:$M,MATCH($D124,'02_能力差距自评'!$F:$F,0)))</f>
        <v/>
      </c>
      <c r="J124" s="8" t="str">
        <f>IF($D124="","",INDEX('02_能力差距自评'!$N:$N,MATCH($D124,'02_能力差距自评'!$F:$F,0)))</f>
        <v/>
      </c>
      <c r="K124" s="8" t="str">
        <f>IF($D124="","",INDEX('02_能力差距自评'!$O:$O,MATCH($D124,'02_能力差距自评'!$F:$F,0)))</f>
        <v/>
      </c>
      <c r="L124" s="8" t="str">
        <f>IF($D124="","",INDEX('02_能力差距自评'!$I:$I,MATCH($D124,'02_能力差距自评'!$F:$F,0)))</f>
        <v/>
      </c>
      <c r="M124" s="8" t="str">
        <f t="shared" si="2"/>
        <v/>
      </c>
      <c r="N124" s="8" t="str">
        <f>IF($D124="","",INDEX('02_能力差距自评'!$J:$J,MATCH($D124,'02_能力差距自评'!$F:$F,0)))</f>
        <v/>
      </c>
      <c r="O124" s="8" t="str">
        <f>IF($D124="","",INDEX('02_能力差距自评'!$K:$K,MATCH($D124,'02_能力差距自评'!$F:$F,0)))</f>
        <v/>
      </c>
      <c r="P124" s="8"/>
      <c r="Q124" s="8"/>
      <c r="R124" s="8"/>
      <c r="S124" s="8" t="str">
        <f t="shared" si="3"/>
        <v/>
      </c>
      <c r="T124" s="8"/>
      <c r="U124" s="8"/>
      <c r="V124" s="8"/>
    </row>
    <row r="125" spans="1:22">
      <c r="A125" s="8" t="str">
        <f>IF($D125="","","LP"&amp;TEXT(ROWS($A$2:A125),"000"))</f>
        <v/>
      </c>
      <c r="B125" s="8" t="str">
        <f>IF($D125="","",IFERROR(INDEX('02_能力差距自评'!$Q:$Q,MATCH($D125,'02_能力差距自评'!$F:$F,0)),""))</f>
        <v/>
      </c>
      <c r="C125" s="8" t="str">
        <f>IF($D125="","",IFERROR(INDEX('02_能力差距自评'!$R:$R,MATCH($D125,'02_能力差距自评'!$F:$F,0)),""))</f>
        <v/>
      </c>
      <c r="D125" s="8" t="str">
        <f>IFERROR(INDEX('02_能力差距自评'!$F$2:$F$311,MATCH(ROWS($D$2:D125),'02_能力差距自评'!$W$2:$W$311,0)),"")</f>
        <v/>
      </c>
      <c r="E125" s="8" t="str">
        <f>IF($D125="","",INDEX('02_能力差距自评'!$G:$G,MATCH($D125,'02_能力差距自评'!$F:$F,0)))</f>
        <v/>
      </c>
      <c r="F125" s="8" t="str">
        <f>IF($D125="","",INDEX('02_能力差距自评'!$C:$C,MATCH($D125,'02_能力差距自评'!$F:$F,0)))</f>
        <v/>
      </c>
      <c r="G125" s="8" t="str">
        <f>IF($D125="","",INDEX('02_能力差距自评'!$E:$E,MATCH($D125,'02_能力差距自评'!$F:$F,0)))</f>
        <v/>
      </c>
      <c r="H125" s="8" t="str">
        <f>IF($D125="","",INDEX('02_能力差距自评'!$L:$L,MATCH($D125,'02_能力差距自评'!$F:$F,0)))</f>
        <v/>
      </c>
      <c r="I125" s="8" t="str">
        <f>IF($D125="","",INDEX('02_能力差距自评'!$M:$M,MATCH($D125,'02_能力差距自评'!$F:$F,0)))</f>
        <v/>
      </c>
      <c r="J125" s="8" t="str">
        <f>IF($D125="","",INDEX('02_能力差距自评'!$N:$N,MATCH($D125,'02_能力差距自评'!$F:$F,0)))</f>
        <v/>
      </c>
      <c r="K125" s="8" t="str">
        <f>IF($D125="","",INDEX('02_能力差距自评'!$O:$O,MATCH($D125,'02_能力差距自评'!$F:$F,0)))</f>
        <v/>
      </c>
      <c r="L125" s="8" t="str">
        <f>IF($D125="","",INDEX('02_能力差距自评'!$I:$I,MATCH($D125,'02_能力差距自评'!$F:$F,0)))</f>
        <v/>
      </c>
      <c r="M125" s="8" t="str">
        <f t="shared" si="2"/>
        <v/>
      </c>
      <c r="N125" s="8" t="str">
        <f>IF($D125="","",INDEX('02_能力差距自评'!$J:$J,MATCH($D125,'02_能力差距自评'!$F:$F,0)))</f>
        <v/>
      </c>
      <c r="O125" s="8" t="str">
        <f>IF($D125="","",INDEX('02_能力差距自评'!$K:$K,MATCH($D125,'02_能力差距自评'!$F:$F,0)))</f>
        <v/>
      </c>
      <c r="P125" s="8"/>
      <c r="Q125" s="8"/>
      <c r="R125" s="8"/>
      <c r="S125" s="8" t="str">
        <f t="shared" si="3"/>
        <v/>
      </c>
      <c r="T125" s="8"/>
      <c r="U125" s="8"/>
      <c r="V125" s="8"/>
    </row>
    <row r="126" spans="1:22">
      <c r="A126" s="8" t="str">
        <f>IF($D126="","","LP"&amp;TEXT(ROWS($A$2:A126),"000"))</f>
        <v/>
      </c>
      <c r="B126" s="8" t="str">
        <f>IF($D126="","",IFERROR(INDEX('02_能力差距自评'!$Q:$Q,MATCH($D126,'02_能力差距自评'!$F:$F,0)),""))</f>
        <v/>
      </c>
      <c r="C126" s="8" t="str">
        <f>IF($D126="","",IFERROR(INDEX('02_能力差距自评'!$R:$R,MATCH($D126,'02_能力差距自评'!$F:$F,0)),""))</f>
        <v/>
      </c>
      <c r="D126" s="8" t="str">
        <f>IFERROR(INDEX('02_能力差距自评'!$F$2:$F$311,MATCH(ROWS($D$2:D126),'02_能力差距自评'!$W$2:$W$311,0)),"")</f>
        <v/>
      </c>
      <c r="E126" s="8" t="str">
        <f>IF($D126="","",INDEX('02_能力差距自评'!$G:$G,MATCH($D126,'02_能力差距自评'!$F:$F,0)))</f>
        <v/>
      </c>
      <c r="F126" s="8" t="str">
        <f>IF($D126="","",INDEX('02_能力差距自评'!$C:$C,MATCH($D126,'02_能力差距自评'!$F:$F,0)))</f>
        <v/>
      </c>
      <c r="G126" s="8" t="str">
        <f>IF($D126="","",INDEX('02_能力差距自评'!$E:$E,MATCH($D126,'02_能力差距自评'!$F:$F,0)))</f>
        <v/>
      </c>
      <c r="H126" s="8" t="str">
        <f>IF($D126="","",INDEX('02_能力差距自评'!$L:$L,MATCH($D126,'02_能力差距自评'!$F:$F,0)))</f>
        <v/>
      </c>
      <c r="I126" s="8" t="str">
        <f>IF($D126="","",INDEX('02_能力差距自评'!$M:$M,MATCH($D126,'02_能力差距自评'!$F:$F,0)))</f>
        <v/>
      </c>
      <c r="J126" s="8" t="str">
        <f>IF($D126="","",INDEX('02_能力差距自评'!$N:$N,MATCH($D126,'02_能力差距自评'!$F:$F,0)))</f>
        <v/>
      </c>
      <c r="K126" s="8" t="str">
        <f>IF($D126="","",INDEX('02_能力差距自评'!$O:$O,MATCH($D126,'02_能力差距自评'!$F:$F,0)))</f>
        <v/>
      </c>
      <c r="L126" s="8" t="str">
        <f>IF($D126="","",INDEX('02_能力差距自评'!$I:$I,MATCH($D126,'02_能力差距自评'!$F:$F,0)))</f>
        <v/>
      </c>
      <c r="M126" s="8" t="str">
        <f t="shared" si="2"/>
        <v/>
      </c>
      <c r="N126" s="8" t="str">
        <f>IF($D126="","",INDEX('02_能力差距自评'!$J:$J,MATCH($D126,'02_能力差距自评'!$F:$F,0)))</f>
        <v/>
      </c>
      <c r="O126" s="8" t="str">
        <f>IF($D126="","",INDEX('02_能力差距自评'!$K:$K,MATCH($D126,'02_能力差距自评'!$F:$F,0)))</f>
        <v/>
      </c>
      <c r="P126" s="8"/>
      <c r="Q126" s="8"/>
      <c r="R126" s="8"/>
      <c r="S126" s="8" t="str">
        <f t="shared" si="3"/>
        <v/>
      </c>
      <c r="T126" s="8"/>
      <c r="U126" s="8"/>
      <c r="V126" s="8"/>
    </row>
    <row r="127" spans="1:22">
      <c r="A127" s="8" t="str">
        <f>IF($D127="","","LP"&amp;TEXT(ROWS($A$2:A127),"000"))</f>
        <v/>
      </c>
      <c r="B127" s="8" t="str">
        <f>IF($D127="","",IFERROR(INDEX('02_能力差距自评'!$Q:$Q,MATCH($D127,'02_能力差距自评'!$F:$F,0)),""))</f>
        <v/>
      </c>
      <c r="C127" s="8" t="str">
        <f>IF($D127="","",IFERROR(INDEX('02_能力差距自评'!$R:$R,MATCH($D127,'02_能力差距自评'!$F:$F,0)),""))</f>
        <v/>
      </c>
      <c r="D127" s="8" t="str">
        <f>IFERROR(INDEX('02_能力差距自评'!$F$2:$F$311,MATCH(ROWS($D$2:D127),'02_能力差距自评'!$W$2:$W$311,0)),"")</f>
        <v/>
      </c>
      <c r="E127" s="8" t="str">
        <f>IF($D127="","",INDEX('02_能力差距自评'!$G:$G,MATCH($D127,'02_能力差距自评'!$F:$F,0)))</f>
        <v/>
      </c>
      <c r="F127" s="8" t="str">
        <f>IF($D127="","",INDEX('02_能力差距自评'!$C:$C,MATCH($D127,'02_能力差距自评'!$F:$F,0)))</f>
        <v/>
      </c>
      <c r="G127" s="8" t="str">
        <f>IF($D127="","",INDEX('02_能力差距自评'!$E:$E,MATCH($D127,'02_能力差距自评'!$F:$F,0)))</f>
        <v/>
      </c>
      <c r="H127" s="8" t="str">
        <f>IF($D127="","",INDEX('02_能力差距自评'!$L:$L,MATCH($D127,'02_能力差距自评'!$F:$F,0)))</f>
        <v/>
      </c>
      <c r="I127" s="8" t="str">
        <f>IF($D127="","",INDEX('02_能力差距自评'!$M:$M,MATCH($D127,'02_能力差距自评'!$F:$F,0)))</f>
        <v/>
      </c>
      <c r="J127" s="8" t="str">
        <f>IF($D127="","",INDEX('02_能力差距自评'!$N:$N,MATCH($D127,'02_能力差距自评'!$F:$F,0)))</f>
        <v/>
      </c>
      <c r="K127" s="8" t="str">
        <f>IF($D127="","",INDEX('02_能力差距自评'!$O:$O,MATCH($D127,'02_能力差距自评'!$F:$F,0)))</f>
        <v/>
      </c>
      <c r="L127" s="8" t="str">
        <f>IF($D127="","",INDEX('02_能力差距自评'!$I:$I,MATCH($D127,'02_能力差距自评'!$F:$F,0)))</f>
        <v/>
      </c>
      <c r="M127" s="8" t="str">
        <f t="shared" si="2"/>
        <v/>
      </c>
      <c r="N127" s="8" t="str">
        <f>IF($D127="","",INDEX('02_能力差距自评'!$J:$J,MATCH($D127,'02_能力差距自评'!$F:$F,0)))</f>
        <v/>
      </c>
      <c r="O127" s="8" t="str">
        <f>IF($D127="","",INDEX('02_能力差距自评'!$K:$K,MATCH($D127,'02_能力差距自评'!$F:$F,0)))</f>
        <v/>
      </c>
      <c r="P127" s="8"/>
      <c r="Q127" s="8"/>
      <c r="R127" s="8"/>
      <c r="S127" s="8" t="str">
        <f t="shared" si="3"/>
        <v/>
      </c>
      <c r="T127" s="8"/>
      <c r="U127" s="8"/>
      <c r="V127" s="8"/>
    </row>
    <row r="128" spans="1:22">
      <c r="A128" s="8" t="str">
        <f>IF($D128="","","LP"&amp;TEXT(ROWS($A$2:A128),"000"))</f>
        <v/>
      </c>
      <c r="B128" s="8" t="str">
        <f>IF($D128="","",IFERROR(INDEX('02_能力差距自评'!$Q:$Q,MATCH($D128,'02_能力差距自评'!$F:$F,0)),""))</f>
        <v/>
      </c>
      <c r="C128" s="8" t="str">
        <f>IF($D128="","",IFERROR(INDEX('02_能力差距自评'!$R:$R,MATCH($D128,'02_能力差距自评'!$F:$F,0)),""))</f>
        <v/>
      </c>
      <c r="D128" s="8" t="str">
        <f>IFERROR(INDEX('02_能力差距自评'!$F$2:$F$311,MATCH(ROWS($D$2:D128),'02_能力差距自评'!$W$2:$W$311,0)),"")</f>
        <v/>
      </c>
      <c r="E128" s="8" t="str">
        <f>IF($D128="","",INDEX('02_能力差距自评'!$G:$G,MATCH($D128,'02_能力差距自评'!$F:$F,0)))</f>
        <v/>
      </c>
      <c r="F128" s="8" t="str">
        <f>IF($D128="","",INDEX('02_能力差距自评'!$C:$C,MATCH($D128,'02_能力差距自评'!$F:$F,0)))</f>
        <v/>
      </c>
      <c r="G128" s="8" t="str">
        <f>IF($D128="","",INDEX('02_能力差距自评'!$E:$E,MATCH($D128,'02_能力差距自评'!$F:$F,0)))</f>
        <v/>
      </c>
      <c r="H128" s="8" t="str">
        <f>IF($D128="","",INDEX('02_能力差距自评'!$L:$L,MATCH($D128,'02_能力差距自评'!$F:$F,0)))</f>
        <v/>
      </c>
      <c r="I128" s="8" t="str">
        <f>IF($D128="","",INDEX('02_能力差距自评'!$M:$M,MATCH($D128,'02_能力差距自评'!$F:$F,0)))</f>
        <v/>
      </c>
      <c r="J128" s="8" t="str">
        <f>IF($D128="","",INDEX('02_能力差距自评'!$N:$N,MATCH($D128,'02_能力差距自评'!$F:$F,0)))</f>
        <v/>
      </c>
      <c r="K128" s="8" t="str">
        <f>IF($D128="","",INDEX('02_能力差距自评'!$O:$O,MATCH($D128,'02_能力差距自评'!$F:$F,0)))</f>
        <v/>
      </c>
      <c r="L128" s="8" t="str">
        <f>IF($D128="","",INDEX('02_能力差距自评'!$I:$I,MATCH($D128,'02_能力差距自评'!$F:$F,0)))</f>
        <v/>
      </c>
      <c r="M128" s="8" t="str">
        <f t="shared" si="2"/>
        <v/>
      </c>
      <c r="N128" s="8" t="str">
        <f>IF($D128="","",INDEX('02_能力差距自评'!$J:$J,MATCH($D128,'02_能力差距自评'!$F:$F,0)))</f>
        <v/>
      </c>
      <c r="O128" s="8" t="str">
        <f>IF($D128="","",INDEX('02_能力差距自评'!$K:$K,MATCH($D128,'02_能力差距自评'!$F:$F,0)))</f>
        <v/>
      </c>
      <c r="P128" s="8"/>
      <c r="Q128" s="8"/>
      <c r="R128" s="8"/>
      <c r="S128" s="8" t="str">
        <f t="shared" si="3"/>
        <v/>
      </c>
      <c r="T128" s="8"/>
      <c r="U128" s="8"/>
      <c r="V128" s="8"/>
    </row>
    <row r="129" spans="1:22">
      <c r="A129" s="8" t="str">
        <f>IF($D129="","","LP"&amp;TEXT(ROWS($A$2:A129),"000"))</f>
        <v/>
      </c>
      <c r="B129" s="8" t="str">
        <f>IF($D129="","",IFERROR(INDEX('02_能力差距自评'!$Q:$Q,MATCH($D129,'02_能力差距自评'!$F:$F,0)),""))</f>
        <v/>
      </c>
      <c r="C129" s="8" t="str">
        <f>IF($D129="","",IFERROR(INDEX('02_能力差距自评'!$R:$R,MATCH($D129,'02_能力差距自评'!$F:$F,0)),""))</f>
        <v/>
      </c>
      <c r="D129" s="8" t="str">
        <f>IFERROR(INDEX('02_能力差距自评'!$F$2:$F$311,MATCH(ROWS($D$2:D129),'02_能力差距自评'!$W$2:$W$311,0)),"")</f>
        <v/>
      </c>
      <c r="E129" s="8" t="str">
        <f>IF($D129="","",INDEX('02_能力差距自评'!$G:$G,MATCH($D129,'02_能力差距自评'!$F:$F,0)))</f>
        <v/>
      </c>
      <c r="F129" s="8" t="str">
        <f>IF($D129="","",INDEX('02_能力差距自评'!$C:$C,MATCH($D129,'02_能力差距自评'!$F:$F,0)))</f>
        <v/>
      </c>
      <c r="G129" s="8" t="str">
        <f>IF($D129="","",INDEX('02_能力差距自评'!$E:$E,MATCH($D129,'02_能力差距自评'!$F:$F,0)))</f>
        <v/>
      </c>
      <c r="H129" s="8" t="str">
        <f>IF($D129="","",INDEX('02_能力差距自评'!$L:$L,MATCH($D129,'02_能力差距自评'!$F:$F,0)))</f>
        <v/>
      </c>
      <c r="I129" s="8" t="str">
        <f>IF($D129="","",INDEX('02_能力差距自评'!$M:$M,MATCH($D129,'02_能力差距自评'!$F:$F,0)))</f>
        <v/>
      </c>
      <c r="J129" s="8" t="str">
        <f>IF($D129="","",INDEX('02_能力差距自评'!$N:$N,MATCH($D129,'02_能力差距自评'!$F:$F,0)))</f>
        <v/>
      </c>
      <c r="K129" s="8" t="str">
        <f>IF($D129="","",INDEX('02_能力差距自评'!$O:$O,MATCH($D129,'02_能力差距自评'!$F:$F,0)))</f>
        <v/>
      </c>
      <c r="L129" s="8" t="str">
        <f>IF($D129="","",INDEX('02_能力差距自评'!$I:$I,MATCH($D129,'02_能力差距自评'!$F:$F,0)))</f>
        <v/>
      </c>
      <c r="M129" s="8" t="str">
        <f t="shared" si="2"/>
        <v/>
      </c>
      <c r="N129" s="8" t="str">
        <f>IF($D129="","",INDEX('02_能力差距自评'!$J:$J,MATCH($D129,'02_能力差距自评'!$F:$F,0)))</f>
        <v/>
      </c>
      <c r="O129" s="8" t="str">
        <f>IF($D129="","",INDEX('02_能力差距自评'!$K:$K,MATCH($D129,'02_能力差距自评'!$F:$F,0)))</f>
        <v/>
      </c>
      <c r="P129" s="8"/>
      <c r="Q129" s="8"/>
      <c r="R129" s="8"/>
      <c r="S129" s="8" t="str">
        <f t="shared" si="3"/>
        <v/>
      </c>
      <c r="T129" s="8"/>
      <c r="U129" s="8"/>
      <c r="V129" s="8"/>
    </row>
    <row r="130" spans="1:22">
      <c r="A130" s="8" t="str">
        <f>IF($D130="","","LP"&amp;TEXT(ROWS($A$2:A130),"000"))</f>
        <v/>
      </c>
      <c r="B130" s="8" t="str">
        <f>IF($D130="","",IFERROR(INDEX('02_能力差距自评'!$Q:$Q,MATCH($D130,'02_能力差距自评'!$F:$F,0)),""))</f>
        <v/>
      </c>
      <c r="C130" s="8" t="str">
        <f>IF($D130="","",IFERROR(INDEX('02_能力差距自评'!$R:$R,MATCH($D130,'02_能力差距自评'!$F:$F,0)),""))</f>
        <v/>
      </c>
      <c r="D130" s="8" t="str">
        <f>IFERROR(INDEX('02_能力差距自评'!$F$2:$F$311,MATCH(ROWS($D$2:D130),'02_能力差距自评'!$W$2:$W$311,0)),"")</f>
        <v/>
      </c>
      <c r="E130" s="8" t="str">
        <f>IF($D130="","",INDEX('02_能力差距自评'!$G:$G,MATCH($D130,'02_能力差距自评'!$F:$F,0)))</f>
        <v/>
      </c>
      <c r="F130" s="8" t="str">
        <f>IF($D130="","",INDEX('02_能力差距自评'!$C:$C,MATCH($D130,'02_能力差距自评'!$F:$F,0)))</f>
        <v/>
      </c>
      <c r="G130" s="8" t="str">
        <f>IF($D130="","",INDEX('02_能力差距自评'!$E:$E,MATCH($D130,'02_能力差距自评'!$F:$F,0)))</f>
        <v/>
      </c>
      <c r="H130" s="8" t="str">
        <f>IF($D130="","",INDEX('02_能力差距自评'!$L:$L,MATCH($D130,'02_能力差距自评'!$F:$F,0)))</f>
        <v/>
      </c>
      <c r="I130" s="8" t="str">
        <f>IF($D130="","",INDEX('02_能力差距自评'!$M:$M,MATCH($D130,'02_能力差距自评'!$F:$F,0)))</f>
        <v/>
      </c>
      <c r="J130" s="8" t="str">
        <f>IF($D130="","",INDEX('02_能力差距自评'!$N:$N,MATCH($D130,'02_能力差距自评'!$F:$F,0)))</f>
        <v/>
      </c>
      <c r="K130" s="8" t="str">
        <f>IF($D130="","",INDEX('02_能力差距自评'!$O:$O,MATCH($D130,'02_能力差距自评'!$F:$F,0)))</f>
        <v/>
      </c>
      <c r="L130" s="8" t="str">
        <f>IF($D130="","",INDEX('02_能力差距自评'!$I:$I,MATCH($D130,'02_能力差距自评'!$F:$F,0)))</f>
        <v/>
      </c>
      <c r="M130" s="8" t="str">
        <f t="shared" ref="M130:M193" si="4">IF($D130="","",$E130)</f>
        <v/>
      </c>
      <c r="N130" s="8" t="str">
        <f>IF($D130="","",INDEX('02_能力差距自评'!$J:$J,MATCH($D130,'02_能力差距自评'!$F:$F,0)))</f>
        <v/>
      </c>
      <c r="O130" s="8" t="str">
        <f>IF($D130="","",INDEX('02_能力差距自评'!$K:$K,MATCH($D130,'02_能力差距自评'!$F:$F,0)))</f>
        <v/>
      </c>
      <c r="P130" s="8"/>
      <c r="Q130" s="8"/>
      <c r="R130" s="8"/>
      <c r="S130" s="8" t="str">
        <f t="shared" ref="S130:S193" si="5">IF($D130="","","未开始")</f>
        <v/>
      </c>
      <c r="T130" s="8"/>
      <c r="U130" s="8"/>
      <c r="V130" s="8"/>
    </row>
    <row r="131" spans="1:22">
      <c r="A131" s="8" t="str">
        <f>IF($D131="","","LP"&amp;TEXT(ROWS($A$2:A131),"000"))</f>
        <v/>
      </c>
      <c r="B131" s="8" t="str">
        <f>IF($D131="","",IFERROR(INDEX('02_能力差距自评'!$Q:$Q,MATCH($D131,'02_能力差距自评'!$F:$F,0)),""))</f>
        <v/>
      </c>
      <c r="C131" s="8" t="str">
        <f>IF($D131="","",IFERROR(INDEX('02_能力差距自评'!$R:$R,MATCH($D131,'02_能力差距自评'!$F:$F,0)),""))</f>
        <v/>
      </c>
      <c r="D131" s="8" t="str">
        <f>IFERROR(INDEX('02_能力差距自评'!$F$2:$F$311,MATCH(ROWS($D$2:D131),'02_能力差距自评'!$W$2:$W$311,0)),"")</f>
        <v/>
      </c>
      <c r="E131" s="8" t="str">
        <f>IF($D131="","",INDEX('02_能力差距自评'!$G:$G,MATCH($D131,'02_能力差距自评'!$F:$F,0)))</f>
        <v/>
      </c>
      <c r="F131" s="8" t="str">
        <f>IF($D131="","",INDEX('02_能力差距自评'!$C:$C,MATCH($D131,'02_能力差距自评'!$F:$F,0)))</f>
        <v/>
      </c>
      <c r="G131" s="8" t="str">
        <f>IF($D131="","",INDEX('02_能力差距自评'!$E:$E,MATCH($D131,'02_能力差距自评'!$F:$F,0)))</f>
        <v/>
      </c>
      <c r="H131" s="8" t="str">
        <f>IF($D131="","",INDEX('02_能力差距自评'!$L:$L,MATCH($D131,'02_能力差距自评'!$F:$F,0)))</f>
        <v/>
      </c>
      <c r="I131" s="8" t="str">
        <f>IF($D131="","",INDEX('02_能力差距自评'!$M:$M,MATCH($D131,'02_能力差距自评'!$F:$F,0)))</f>
        <v/>
      </c>
      <c r="J131" s="8" t="str">
        <f>IF($D131="","",INDEX('02_能力差距自评'!$N:$N,MATCH($D131,'02_能力差距自评'!$F:$F,0)))</f>
        <v/>
      </c>
      <c r="K131" s="8" t="str">
        <f>IF($D131="","",INDEX('02_能力差距自评'!$O:$O,MATCH($D131,'02_能力差距自评'!$F:$F,0)))</f>
        <v/>
      </c>
      <c r="L131" s="8" t="str">
        <f>IF($D131="","",INDEX('02_能力差距自评'!$I:$I,MATCH($D131,'02_能力差距自评'!$F:$F,0)))</f>
        <v/>
      </c>
      <c r="M131" s="8" t="str">
        <f t="shared" si="4"/>
        <v/>
      </c>
      <c r="N131" s="8" t="str">
        <f>IF($D131="","",INDEX('02_能力差距自评'!$J:$J,MATCH($D131,'02_能力差距自评'!$F:$F,0)))</f>
        <v/>
      </c>
      <c r="O131" s="8" t="str">
        <f>IF($D131="","",INDEX('02_能力差距自评'!$K:$K,MATCH($D131,'02_能力差距自评'!$F:$F,0)))</f>
        <v/>
      </c>
      <c r="P131" s="8"/>
      <c r="Q131" s="8"/>
      <c r="R131" s="8"/>
      <c r="S131" s="8" t="str">
        <f t="shared" si="5"/>
        <v/>
      </c>
      <c r="T131" s="8"/>
      <c r="U131" s="8"/>
      <c r="V131" s="8"/>
    </row>
    <row r="132" spans="1:22">
      <c r="A132" s="8" t="str">
        <f>IF($D132="","","LP"&amp;TEXT(ROWS($A$2:A132),"000"))</f>
        <v/>
      </c>
      <c r="B132" s="8" t="str">
        <f>IF($D132="","",IFERROR(INDEX('02_能力差距自评'!$Q:$Q,MATCH($D132,'02_能力差距自评'!$F:$F,0)),""))</f>
        <v/>
      </c>
      <c r="C132" s="8" t="str">
        <f>IF($D132="","",IFERROR(INDEX('02_能力差距自评'!$R:$R,MATCH($D132,'02_能力差距自评'!$F:$F,0)),""))</f>
        <v/>
      </c>
      <c r="D132" s="8" t="str">
        <f>IFERROR(INDEX('02_能力差距自评'!$F$2:$F$311,MATCH(ROWS($D$2:D132),'02_能力差距自评'!$W$2:$W$311,0)),"")</f>
        <v/>
      </c>
      <c r="E132" s="8" t="str">
        <f>IF($D132="","",INDEX('02_能力差距自评'!$G:$G,MATCH($D132,'02_能力差距自评'!$F:$F,0)))</f>
        <v/>
      </c>
      <c r="F132" s="8" t="str">
        <f>IF($D132="","",INDEX('02_能力差距自评'!$C:$C,MATCH($D132,'02_能力差距自评'!$F:$F,0)))</f>
        <v/>
      </c>
      <c r="G132" s="8" t="str">
        <f>IF($D132="","",INDEX('02_能力差距自评'!$E:$E,MATCH($D132,'02_能力差距自评'!$F:$F,0)))</f>
        <v/>
      </c>
      <c r="H132" s="8" t="str">
        <f>IF($D132="","",INDEX('02_能力差距自评'!$L:$L,MATCH($D132,'02_能力差距自评'!$F:$F,0)))</f>
        <v/>
      </c>
      <c r="I132" s="8" t="str">
        <f>IF($D132="","",INDEX('02_能力差距自评'!$M:$M,MATCH($D132,'02_能力差距自评'!$F:$F,0)))</f>
        <v/>
      </c>
      <c r="J132" s="8" t="str">
        <f>IF($D132="","",INDEX('02_能力差距自评'!$N:$N,MATCH($D132,'02_能力差距自评'!$F:$F,0)))</f>
        <v/>
      </c>
      <c r="K132" s="8" t="str">
        <f>IF($D132="","",INDEX('02_能力差距自评'!$O:$O,MATCH($D132,'02_能力差距自评'!$F:$F,0)))</f>
        <v/>
      </c>
      <c r="L132" s="8" t="str">
        <f>IF($D132="","",INDEX('02_能力差距自评'!$I:$I,MATCH($D132,'02_能力差距自评'!$F:$F,0)))</f>
        <v/>
      </c>
      <c r="M132" s="8" t="str">
        <f t="shared" si="4"/>
        <v/>
      </c>
      <c r="N132" s="8" t="str">
        <f>IF($D132="","",INDEX('02_能力差距自评'!$J:$J,MATCH($D132,'02_能力差距自评'!$F:$F,0)))</f>
        <v/>
      </c>
      <c r="O132" s="8" t="str">
        <f>IF($D132="","",INDEX('02_能力差距自评'!$K:$K,MATCH($D132,'02_能力差距自评'!$F:$F,0)))</f>
        <v/>
      </c>
      <c r="P132" s="8"/>
      <c r="Q132" s="8"/>
      <c r="R132" s="8"/>
      <c r="S132" s="8" t="str">
        <f t="shared" si="5"/>
        <v/>
      </c>
      <c r="T132" s="8"/>
      <c r="U132" s="8"/>
      <c r="V132" s="8"/>
    </row>
    <row r="133" spans="1:22">
      <c r="A133" s="8" t="str">
        <f>IF($D133="","","LP"&amp;TEXT(ROWS($A$2:A133),"000"))</f>
        <v/>
      </c>
      <c r="B133" s="8" t="str">
        <f>IF($D133="","",IFERROR(INDEX('02_能力差距自评'!$Q:$Q,MATCH($D133,'02_能力差距自评'!$F:$F,0)),""))</f>
        <v/>
      </c>
      <c r="C133" s="8" t="str">
        <f>IF($D133="","",IFERROR(INDEX('02_能力差距自评'!$R:$R,MATCH($D133,'02_能力差距自评'!$F:$F,0)),""))</f>
        <v/>
      </c>
      <c r="D133" s="8" t="str">
        <f>IFERROR(INDEX('02_能力差距自评'!$F$2:$F$311,MATCH(ROWS($D$2:D133),'02_能力差距自评'!$W$2:$W$311,0)),"")</f>
        <v/>
      </c>
      <c r="E133" s="8" t="str">
        <f>IF($D133="","",INDEX('02_能力差距自评'!$G:$G,MATCH($D133,'02_能力差距自评'!$F:$F,0)))</f>
        <v/>
      </c>
      <c r="F133" s="8" t="str">
        <f>IF($D133="","",INDEX('02_能力差距自评'!$C:$C,MATCH($D133,'02_能力差距自评'!$F:$F,0)))</f>
        <v/>
      </c>
      <c r="G133" s="8" t="str">
        <f>IF($D133="","",INDEX('02_能力差距自评'!$E:$E,MATCH($D133,'02_能力差距自评'!$F:$F,0)))</f>
        <v/>
      </c>
      <c r="H133" s="8" t="str">
        <f>IF($D133="","",INDEX('02_能力差距自评'!$L:$L,MATCH($D133,'02_能力差距自评'!$F:$F,0)))</f>
        <v/>
      </c>
      <c r="I133" s="8" t="str">
        <f>IF($D133="","",INDEX('02_能力差距自评'!$M:$M,MATCH($D133,'02_能力差距自评'!$F:$F,0)))</f>
        <v/>
      </c>
      <c r="J133" s="8" t="str">
        <f>IF($D133="","",INDEX('02_能力差距自评'!$N:$N,MATCH($D133,'02_能力差距自评'!$F:$F,0)))</f>
        <v/>
      </c>
      <c r="K133" s="8" t="str">
        <f>IF($D133="","",INDEX('02_能力差距自评'!$O:$O,MATCH($D133,'02_能力差距自评'!$F:$F,0)))</f>
        <v/>
      </c>
      <c r="L133" s="8" t="str">
        <f>IF($D133="","",INDEX('02_能力差距自评'!$I:$I,MATCH($D133,'02_能力差距自评'!$F:$F,0)))</f>
        <v/>
      </c>
      <c r="M133" s="8" t="str">
        <f t="shared" si="4"/>
        <v/>
      </c>
      <c r="N133" s="8" t="str">
        <f>IF($D133="","",INDEX('02_能力差距自评'!$J:$J,MATCH($D133,'02_能力差距自评'!$F:$F,0)))</f>
        <v/>
      </c>
      <c r="O133" s="8" t="str">
        <f>IF($D133="","",INDEX('02_能力差距自评'!$K:$K,MATCH($D133,'02_能力差距自评'!$F:$F,0)))</f>
        <v/>
      </c>
      <c r="P133" s="8"/>
      <c r="Q133" s="8"/>
      <c r="R133" s="8"/>
      <c r="S133" s="8" t="str">
        <f t="shared" si="5"/>
        <v/>
      </c>
      <c r="T133" s="8"/>
      <c r="U133" s="8"/>
      <c r="V133" s="8"/>
    </row>
    <row r="134" spans="1:22">
      <c r="A134" s="8" t="str">
        <f>IF($D134="","","LP"&amp;TEXT(ROWS($A$2:A134),"000"))</f>
        <v/>
      </c>
      <c r="B134" s="8" t="str">
        <f>IF($D134="","",IFERROR(INDEX('02_能力差距自评'!$Q:$Q,MATCH($D134,'02_能力差距自评'!$F:$F,0)),""))</f>
        <v/>
      </c>
      <c r="C134" s="8" t="str">
        <f>IF($D134="","",IFERROR(INDEX('02_能力差距自评'!$R:$R,MATCH($D134,'02_能力差距自评'!$F:$F,0)),""))</f>
        <v/>
      </c>
      <c r="D134" s="8" t="str">
        <f>IFERROR(INDEX('02_能力差距自评'!$F$2:$F$311,MATCH(ROWS($D$2:D134),'02_能力差距自评'!$W$2:$W$311,0)),"")</f>
        <v/>
      </c>
      <c r="E134" s="8" t="str">
        <f>IF($D134="","",INDEX('02_能力差距自评'!$G:$G,MATCH($D134,'02_能力差距自评'!$F:$F,0)))</f>
        <v/>
      </c>
      <c r="F134" s="8" t="str">
        <f>IF($D134="","",INDEX('02_能力差距自评'!$C:$C,MATCH($D134,'02_能力差距自评'!$F:$F,0)))</f>
        <v/>
      </c>
      <c r="G134" s="8" t="str">
        <f>IF($D134="","",INDEX('02_能力差距自评'!$E:$E,MATCH($D134,'02_能力差距自评'!$F:$F,0)))</f>
        <v/>
      </c>
      <c r="H134" s="8" t="str">
        <f>IF($D134="","",INDEX('02_能力差距自评'!$L:$L,MATCH($D134,'02_能力差距自评'!$F:$F,0)))</f>
        <v/>
      </c>
      <c r="I134" s="8" t="str">
        <f>IF($D134="","",INDEX('02_能力差距自评'!$M:$M,MATCH($D134,'02_能力差距自评'!$F:$F,0)))</f>
        <v/>
      </c>
      <c r="J134" s="8" t="str">
        <f>IF($D134="","",INDEX('02_能力差距自评'!$N:$N,MATCH($D134,'02_能力差距自评'!$F:$F,0)))</f>
        <v/>
      </c>
      <c r="K134" s="8" t="str">
        <f>IF($D134="","",INDEX('02_能力差距自评'!$O:$O,MATCH($D134,'02_能力差距自评'!$F:$F,0)))</f>
        <v/>
      </c>
      <c r="L134" s="8" t="str">
        <f>IF($D134="","",INDEX('02_能力差距自评'!$I:$I,MATCH($D134,'02_能力差距自评'!$F:$F,0)))</f>
        <v/>
      </c>
      <c r="M134" s="8" t="str">
        <f t="shared" si="4"/>
        <v/>
      </c>
      <c r="N134" s="8" t="str">
        <f>IF($D134="","",INDEX('02_能力差距自评'!$J:$J,MATCH($D134,'02_能力差距自评'!$F:$F,0)))</f>
        <v/>
      </c>
      <c r="O134" s="8" t="str">
        <f>IF($D134="","",INDEX('02_能力差距自评'!$K:$K,MATCH($D134,'02_能力差距自评'!$F:$F,0)))</f>
        <v/>
      </c>
      <c r="P134" s="8"/>
      <c r="Q134" s="8"/>
      <c r="R134" s="8"/>
      <c r="S134" s="8" t="str">
        <f t="shared" si="5"/>
        <v/>
      </c>
      <c r="T134" s="8"/>
      <c r="U134" s="8"/>
      <c r="V134" s="8"/>
    </row>
    <row r="135" spans="1:22">
      <c r="A135" s="8" t="str">
        <f>IF($D135="","","LP"&amp;TEXT(ROWS($A$2:A135),"000"))</f>
        <v/>
      </c>
      <c r="B135" s="8" t="str">
        <f>IF($D135="","",IFERROR(INDEX('02_能力差距自评'!$Q:$Q,MATCH($D135,'02_能力差距自评'!$F:$F,0)),""))</f>
        <v/>
      </c>
      <c r="C135" s="8" t="str">
        <f>IF($D135="","",IFERROR(INDEX('02_能力差距自评'!$R:$R,MATCH($D135,'02_能力差距自评'!$F:$F,0)),""))</f>
        <v/>
      </c>
      <c r="D135" s="8" t="str">
        <f>IFERROR(INDEX('02_能力差距自评'!$F$2:$F$311,MATCH(ROWS($D$2:D135),'02_能力差距自评'!$W$2:$W$311,0)),"")</f>
        <v/>
      </c>
      <c r="E135" s="8" t="str">
        <f>IF($D135="","",INDEX('02_能力差距自评'!$G:$G,MATCH($D135,'02_能力差距自评'!$F:$F,0)))</f>
        <v/>
      </c>
      <c r="F135" s="8" t="str">
        <f>IF($D135="","",INDEX('02_能力差距自评'!$C:$C,MATCH($D135,'02_能力差距自评'!$F:$F,0)))</f>
        <v/>
      </c>
      <c r="G135" s="8" t="str">
        <f>IF($D135="","",INDEX('02_能力差距自评'!$E:$E,MATCH($D135,'02_能力差距自评'!$F:$F,0)))</f>
        <v/>
      </c>
      <c r="H135" s="8" t="str">
        <f>IF($D135="","",INDEX('02_能力差距自评'!$L:$L,MATCH($D135,'02_能力差距自评'!$F:$F,0)))</f>
        <v/>
      </c>
      <c r="I135" s="8" t="str">
        <f>IF($D135="","",INDEX('02_能力差距自评'!$M:$M,MATCH($D135,'02_能力差距自评'!$F:$F,0)))</f>
        <v/>
      </c>
      <c r="J135" s="8" t="str">
        <f>IF($D135="","",INDEX('02_能力差距自评'!$N:$N,MATCH($D135,'02_能力差距自评'!$F:$F,0)))</f>
        <v/>
      </c>
      <c r="K135" s="8" t="str">
        <f>IF($D135="","",INDEX('02_能力差距自评'!$O:$O,MATCH($D135,'02_能力差距自评'!$F:$F,0)))</f>
        <v/>
      </c>
      <c r="L135" s="8" t="str">
        <f>IF($D135="","",INDEX('02_能力差距自评'!$I:$I,MATCH($D135,'02_能力差距自评'!$F:$F,0)))</f>
        <v/>
      </c>
      <c r="M135" s="8" t="str">
        <f t="shared" si="4"/>
        <v/>
      </c>
      <c r="N135" s="8" t="str">
        <f>IF($D135="","",INDEX('02_能力差距自评'!$J:$J,MATCH($D135,'02_能力差距自评'!$F:$F,0)))</f>
        <v/>
      </c>
      <c r="O135" s="8" t="str">
        <f>IF($D135="","",INDEX('02_能力差距自评'!$K:$K,MATCH($D135,'02_能力差距自评'!$F:$F,0)))</f>
        <v/>
      </c>
      <c r="P135" s="8"/>
      <c r="Q135" s="8"/>
      <c r="R135" s="8"/>
      <c r="S135" s="8" t="str">
        <f t="shared" si="5"/>
        <v/>
      </c>
      <c r="T135" s="8"/>
      <c r="U135" s="8"/>
      <c r="V135" s="8"/>
    </row>
    <row r="136" spans="1:22">
      <c r="A136" s="8" t="str">
        <f>IF($D136="","","LP"&amp;TEXT(ROWS($A$2:A136),"000"))</f>
        <v/>
      </c>
      <c r="B136" s="8" t="str">
        <f>IF($D136="","",IFERROR(INDEX('02_能力差距自评'!$Q:$Q,MATCH($D136,'02_能力差距自评'!$F:$F,0)),""))</f>
        <v/>
      </c>
      <c r="C136" s="8" t="str">
        <f>IF($D136="","",IFERROR(INDEX('02_能力差距自评'!$R:$R,MATCH($D136,'02_能力差距自评'!$F:$F,0)),""))</f>
        <v/>
      </c>
      <c r="D136" s="8" t="str">
        <f>IFERROR(INDEX('02_能力差距自评'!$F$2:$F$311,MATCH(ROWS($D$2:D136),'02_能力差距自评'!$W$2:$W$311,0)),"")</f>
        <v/>
      </c>
      <c r="E136" s="8" t="str">
        <f>IF($D136="","",INDEX('02_能力差距自评'!$G:$G,MATCH($D136,'02_能力差距自评'!$F:$F,0)))</f>
        <v/>
      </c>
      <c r="F136" s="8" t="str">
        <f>IF($D136="","",INDEX('02_能力差距自评'!$C:$C,MATCH($D136,'02_能力差距自评'!$F:$F,0)))</f>
        <v/>
      </c>
      <c r="G136" s="8" t="str">
        <f>IF($D136="","",INDEX('02_能力差距自评'!$E:$E,MATCH($D136,'02_能力差距自评'!$F:$F,0)))</f>
        <v/>
      </c>
      <c r="H136" s="8" t="str">
        <f>IF($D136="","",INDEX('02_能力差距自评'!$L:$L,MATCH($D136,'02_能力差距自评'!$F:$F,0)))</f>
        <v/>
      </c>
      <c r="I136" s="8" t="str">
        <f>IF($D136="","",INDEX('02_能力差距自评'!$M:$M,MATCH($D136,'02_能力差距自评'!$F:$F,0)))</f>
        <v/>
      </c>
      <c r="J136" s="8" t="str">
        <f>IF($D136="","",INDEX('02_能力差距自评'!$N:$N,MATCH($D136,'02_能力差距自评'!$F:$F,0)))</f>
        <v/>
      </c>
      <c r="K136" s="8" t="str">
        <f>IF($D136="","",INDEX('02_能力差距自评'!$O:$O,MATCH($D136,'02_能力差距自评'!$F:$F,0)))</f>
        <v/>
      </c>
      <c r="L136" s="8" t="str">
        <f>IF($D136="","",INDEX('02_能力差距自评'!$I:$I,MATCH($D136,'02_能力差距自评'!$F:$F,0)))</f>
        <v/>
      </c>
      <c r="M136" s="8" t="str">
        <f t="shared" si="4"/>
        <v/>
      </c>
      <c r="N136" s="8" t="str">
        <f>IF($D136="","",INDEX('02_能力差距自评'!$J:$J,MATCH($D136,'02_能力差距自评'!$F:$F,0)))</f>
        <v/>
      </c>
      <c r="O136" s="8" t="str">
        <f>IF($D136="","",INDEX('02_能力差距自评'!$K:$K,MATCH($D136,'02_能力差距自评'!$F:$F,0)))</f>
        <v/>
      </c>
      <c r="P136" s="8"/>
      <c r="Q136" s="8"/>
      <c r="R136" s="8"/>
      <c r="S136" s="8" t="str">
        <f t="shared" si="5"/>
        <v/>
      </c>
      <c r="T136" s="8"/>
      <c r="U136" s="8"/>
      <c r="V136" s="8"/>
    </row>
    <row r="137" spans="1:22">
      <c r="A137" s="8" t="str">
        <f>IF($D137="","","LP"&amp;TEXT(ROWS($A$2:A137),"000"))</f>
        <v/>
      </c>
      <c r="B137" s="8" t="str">
        <f>IF($D137="","",IFERROR(INDEX('02_能力差距自评'!$Q:$Q,MATCH($D137,'02_能力差距自评'!$F:$F,0)),""))</f>
        <v/>
      </c>
      <c r="C137" s="8" t="str">
        <f>IF($D137="","",IFERROR(INDEX('02_能力差距自评'!$R:$R,MATCH($D137,'02_能力差距自评'!$F:$F,0)),""))</f>
        <v/>
      </c>
      <c r="D137" s="8" t="str">
        <f>IFERROR(INDEX('02_能力差距自评'!$F$2:$F$311,MATCH(ROWS($D$2:D137),'02_能力差距自评'!$W$2:$W$311,0)),"")</f>
        <v/>
      </c>
      <c r="E137" s="8" t="str">
        <f>IF($D137="","",INDEX('02_能力差距自评'!$G:$G,MATCH($D137,'02_能力差距自评'!$F:$F,0)))</f>
        <v/>
      </c>
      <c r="F137" s="8" t="str">
        <f>IF($D137="","",INDEX('02_能力差距自评'!$C:$C,MATCH($D137,'02_能力差距自评'!$F:$F,0)))</f>
        <v/>
      </c>
      <c r="G137" s="8" t="str">
        <f>IF($D137="","",INDEX('02_能力差距自评'!$E:$E,MATCH($D137,'02_能力差距自评'!$F:$F,0)))</f>
        <v/>
      </c>
      <c r="H137" s="8" t="str">
        <f>IF($D137="","",INDEX('02_能力差距自评'!$L:$L,MATCH($D137,'02_能力差距自评'!$F:$F,0)))</f>
        <v/>
      </c>
      <c r="I137" s="8" t="str">
        <f>IF($D137="","",INDEX('02_能力差距自评'!$M:$M,MATCH($D137,'02_能力差距自评'!$F:$F,0)))</f>
        <v/>
      </c>
      <c r="J137" s="8" t="str">
        <f>IF($D137="","",INDEX('02_能力差距自评'!$N:$N,MATCH($D137,'02_能力差距自评'!$F:$F,0)))</f>
        <v/>
      </c>
      <c r="K137" s="8" t="str">
        <f>IF($D137="","",INDEX('02_能力差距自评'!$O:$O,MATCH($D137,'02_能力差距自评'!$F:$F,0)))</f>
        <v/>
      </c>
      <c r="L137" s="8" t="str">
        <f>IF($D137="","",INDEX('02_能力差距自评'!$I:$I,MATCH($D137,'02_能力差距自评'!$F:$F,0)))</f>
        <v/>
      </c>
      <c r="M137" s="8" t="str">
        <f t="shared" si="4"/>
        <v/>
      </c>
      <c r="N137" s="8" t="str">
        <f>IF($D137="","",INDEX('02_能力差距自评'!$J:$J,MATCH($D137,'02_能力差距自评'!$F:$F,0)))</f>
        <v/>
      </c>
      <c r="O137" s="8" t="str">
        <f>IF($D137="","",INDEX('02_能力差距自评'!$K:$K,MATCH($D137,'02_能力差距自评'!$F:$F,0)))</f>
        <v/>
      </c>
      <c r="P137" s="8"/>
      <c r="Q137" s="8"/>
      <c r="R137" s="8"/>
      <c r="S137" s="8" t="str">
        <f t="shared" si="5"/>
        <v/>
      </c>
      <c r="T137" s="8"/>
      <c r="U137" s="8"/>
      <c r="V137" s="8"/>
    </row>
    <row r="138" spans="1:22">
      <c r="A138" s="8" t="str">
        <f>IF($D138="","","LP"&amp;TEXT(ROWS($A$2:A138),"000"))</f>
        <v/>
      </c>
      <c r="B138" s="8" t="str">
        <f>IF($D138="","",IFERROR(INDEX('02_能力差距自评'!$Q:$Q,MATCH($D138,'02_能力差距自评'!$F:$F,0)),""))</f>
        <v/>
      </c>
      <c r="C138" s="8" t="str">
        <f>IF($D138="","",IFERROR(INDEX('02_能力差距自评'!$R:$R,MATCH($D138,'02_能力差距自评'!$F:$F,0)),""))</f>
        <v/>
      </c>
      <c r="D138" s="8" t="str">
        <f>IFERROR(INDEX('02_能力差距自评'!$F$2:$F$311,MATCH(ROWS($D$2:D138),'02_能力差距自评'!$W$2:$W$311,0)),"")</f>
        <v/>
      </c>
      <c r="E138" s="8" t="str">
        <f>IF($D138="","",INDEX('02_能力差距自评'!$G:$G,MATCH($D138,'02_能力差距自评'!$F:$F,0)))</f>
        <v/>
      </c>
      <c r="F138" s="8" t="str">
        <f>IF($D138="","",INDEX('02_能力差距自评'!$C:$C,MATCH($D138,'02_能力差距自评'!$F:$F,0)))</f>
        <v/>
      </c>
      <c r="G138" s="8" t="str">
        <f>IF($D138="","",INDEX('02_能力差距自评'!$E:$E,MATCH($D138,'02_能力差距自评'!$F:$F,0)))</f>
        <v/>
      </c>
      <c r="H138" s="8" t="str">
        <f>IF($D138="","",INDEX('02_能力差距自评'!$L:$L,MATCH($D138,'02_能力差距自评'!$F:$F,0)))</f>
        <v/>
      </c>
      <c r="I138" s="8" t="str">
        <f>IF($D138="","",INDEX('02_能力差距自评'!$M:$M,MATCH($D138,'02_能力差距自评'!$F:$F,0)))</f>
        <v/>
      </c>
      <c r="J138" s="8" t="str">
        <f>IF($D138="","",INDEX('02_能力差距自评'!$N:$N,MATCH($D138,'02_能力差距自评'!$F:$F,0)))</f>
        <v/>
      </c>
      <c r="K138" s="8" t="str">
        <f>IF($D138="","",INDEX('02_能力差距自评'!$O:$O,MATCH($D138,'02_能力差距自评'!$F:$F,0)))</f>
        <v/>
      </c>
      <c r="L138" s="8" t="str">
        <f>IF($D138="","",INDEX('02_能力差距自评'!$I:$I,MATCH($D138,'02_能力差距自评'!$F:$F,0)))</f>
        <v/>
      </c>
      <c r="M138" s="8" t="str">
        <f t="shared" si="4"/>
        <v/>
      </c>
      <c r="N138" s="8" t="str">
        <f>IF($D138="","",INDEX('02_能力差距自评'!$J:$J,MATCH($D138,'02_能力差距自评'!$F:$F,0)))</f>
        <v/>
      </c>
      <c r="O138" s="8" t="str">
        <f>IF($D138="","",INDEX('02_能力差距自评'!$K:$K,MATCH($D138,'02_能力差距自评'!$F:$F,0)))</f>
        <v/>
      </c>
      <c r="P138" s="8"/>
      <c r="Q138" s="8"/>
      <c r="R138" s="8"/>
      <c r="S138" s="8" t="str">
        <f t="shared" si="5"/>
        <v/>
      </c>
      <c r="T138" s="8"/>
      <c r="U138" s="8"/>
      <c r="V138" s="8"/>
    </row>
    <row r="139" spans="1:22">
      <c r="A139" s="8" t="str">
        <f>IF($D139="","","LP"&amp;TEXT(ROWS($A$2:A139),"000"))</f>
        <v/>
      </c>
      <c r="B139" s="8" t="str">
        <f>IF($D139="","",IFERROR(INDEX('02_能力差距自评'!$Q:$Q,MATCH($D139,'02_能力差距自评'!$F:$F,0)),""))</f>
        <v/>
      </c>
      <c r="C139" s="8" t="str">
        <f>IF($D139="","",IFERROR(INDEX('02_能力差距自评'!$R:$R,MATCH($D139,'02_能力差距自评'!$F:$F,0)),""))</f>
        <v/>
      </c>
      <c r="D139" s="8" t="str">
        <f>IFERROR(INDEX('02_能力差距自评'!$F$2:$F$311,MATCH(ROWS($D$2:D139),'02_能力差距自评'!$W$2:$W$311,0)),"")</f>
        <v/>
      </c>
      <c r="E139" s="8" t="str">
        <f>IF($D139="","",INDEX('02_能力差距自评'!$G:$G,MATCH($D139,'02_能力差距自评'!$F:$F,0)))</f>
        <v/>
      </c>
      <c r="F139" s="8" t="str">
        <f>IF($D139="","",INDEX('02_能力差距自评'!$C:$C,MATCH($D139,'02_能力差距自评'!$F:$F,0)))</f>
        <v/>
      </c>
      <c r="G139" s="8" t="str">
        <f>IF($D139="","",INDEX('02_能力差距自评'!$E:$E,MATCH($D139,'02_能力差距自评'!$F:$F,0)))</f>
        <v/>
      </c>
      <c r="H139" s="8" t="str">
        <f>IF($D139="","",INDEX('02_能力差距自评'!$L:$L,MATCH($D139,'02_能力差距自评'!$F:$F,0)))</f>
        <v/>
      </c>
      <c r="I139" s="8" t="str">
        <f>IF($D139="","",INDEX('02_能力差距自评'!$M:$M,MATCH($D139,'02_能力差距自评'!$F:$F,0)))</f>
        <v/>
      </c>
      <c r="J139" s="8" t="str">
        <f>IF($D139="","",INDEX('02_能力差距自评'!$N:$N,MATCH($D139,'02_能力差距自评'!$F:$F,0)))</f>
        <v/>
      </c>
      <c r="K139" s="8" t="str">
        <f>IF($D139="","",INDEX('02_能力差距自评'!$O:$O,MATCH($D139,'02_能力差距自评'!$F:$F,0)))</f>
        <v/>
      </c>
      <c r="L139" s="8" t="str">
        <f>IF($D139="","",INDEX('02_能力差距自评'!$I:$I,MATCH($D139,'02_能力差距自评'!$F:$F,0)))</f>
        <v/>
      </c>
      <c r="M139" s="8" t="str">
        <f t="shared" si="4"/>
        <v/>
      </c>
      <c r="N139" s="8" t="str">
        <f>IF($D139="","",INDEX('02_能力差距自评'!$J:$J,MATCH($D139,'02_能力差距自评'!$F:$F,0)))</f>
        <v/>
      </c>
      <c r="O139" s="8" t="str">
        <f>IF($D139="","",INDEX('02_能力差距自评'!$K:$K,MATCH($D139,'02_能力差距自评'!$F:$F,0)))</f>
        <v/>
      </c>
      <c r="P139" s="8"/>
      <c r="Q139" s="8"/>
      <c r="R139" s="8"/>
      <c r="S139" s="8" t="str">
        <f t="shared" si="5"/>
        <v/>
      </c>
      <c r="T139" s="8"/>
      <c r="U139" s="8"/>
      <c r="V139" s="8"/>
    </row>
    <row r="140" spans="1:22">
      <c r="A140" s="8" t="str">
        <f>IF($D140="","","LP"&amp;TEXT(ROWS($A$2:A140),"000"))</f>
        <v/>
      </c>
      <c r="B140" s="8" t="str">
        <f>IF($D140="","",IFERROR(INDEX('02_能力差距自评'!$Q:$Q,MATCH($D140,'02_能力差距自评'!$F:$F,0)),""))</f>
        <v/>
      </c>
      <c r="C140" s="8" t="str">
        <f>IF($D140="","",IFERROR(INDEX('02_能力差距自评'!$R:$R,MATCH($D140,'02_能力差距自评'!$F:$F,0)),""))</f>
        <v/>
      </c>
      <c r="D140" s="8" t="str">
        <f>IFERROR(INDEX('02_能力差距自评'!$F$2:$F$311,MATCH(ROWS($D$2:D140),'02_能力差距自评'!$W$2:$W$311,0)),"")</f>
        <v/>
      </c>
      <c r="E140" s="8" t="str">
        <f>IF($D140="","",INDEX('02_能力差距自评'!$G:$G,MATCH($D140,'02_能力差距自评'!$F:$F,0)))</f>
        <v/>
      </c>
      <c r="F140" s="8" t="str">
        <f>IF($D140="","",INDEX('02_能力差距自评'!$C:$C,MATCH($D140,'02_能力差距自评'!$F:$F,0)))</f>
        <v/>
      </c>
      <c r="G140" s="8" t="str">
        <f>IF($D140="","",INDEX('02_能力差距自评'!$E:$E,MATCH($D140,'02_能力差距自评'!$F:$F,0)))</f>
        <v/>
      </c>
      <c r="H140" s="8" t="str">
        <f>IF($D140="","",INDEX('02_能力差距自评'!$L:$L,MATCH($D140,'02_能力差距自评'!$F:$F,0)))</f>
        <v/>
      </c>
      <c r="I140" s="8" t="str">
        <f>IF($D140="","",INDEX('02_能力差距自评'!$M:$M,MATCH($D140,'02_能力差距自评'!$F:$F,0)))</f>
        <v/>
      </c>
      <c r="J140" s="8" t="str">
        <f>IF($D140="","",INDEX('02_能力差距自评'!$N:$N,MATCH($D140,'02_能力差距自评'!$F:$F,0)))</f>
        <v/>
      </c>
      <c r="K140" s="8" t="str">
        <f>IF($D140="","",INDEX('02_能力差距自评'!$O:$O,MATCH($D140,'02_能力差距自评'!$F:$F,0)))</f>
        <v/>
      </c>
      <c r="L140" s="8" t="str">
        <f>IF($D140="","",INDEX('02_能力差距自评'!$I:$I,MATCH($D140,'02_能力差距自评'!$F:$F,0)))</f>
        <v/>
      </c>
      <c r="M140" s="8" t="str">
        <f t="shared" si="4"/>
        <v/>
      </c>
      <c r="N140" s="8" t="str">
        <f>IF($D140="","",INDEX('02_能力差距自评'!$J:$J,MATCH($D140,'02_能力差距自评'!$F:$F,0)))</f>
        <v/>
      </c>
      <c r="O140" s="8" t="str">
        <f>IF($D140="","",INDEX('02_能力差距自评'!$K:$K,MATCH($D140,'02_能力差距自评'!$F:$F,0)))</f>
        <v/>
      </c>
      <c r="P140" s="8"/>
      <c r="Q140" s="8"/>
      <c r="R140" s="8"/>
      <c r="S140" s="8" t="str">
        <f t="shared" si="5"/>
        <v/>
      </c>
      <c r="T140" s="8"/>
      <c r="U140" s="8"/>
      <c r="V140" s="8"/>
    </row>
    <row r="141" spans="1:22">
      <c r="A141" s="8" t="str">
        <f>IF($D141="","","LP"&amp;TEXT(ROWS($A$2:A141),"000"))</f>
        <v/>
      </c>
      <c r="B141" s="8" t="str">
        <f>IF($D141="","",IFERROR(INDEX('02_能力差距自评'!$Q:$Q,MATCH($D141,'02_能力差距自评'!$F:$F,0)),""))</f>
        <v/>
      </c>
      <c r="C141" s="8" t="str">
        <f>IF($D141="","",IFERROR(INDEX('02_能力差距自评'!$R:$R,MATCH($D141,'02_能力差距自评'!$F:$F,0)),""))</f>
        <v/>
      </c>
      <c r="D141" s="8" t="str">
        <f>IFERROR(INDEX('02_能力差距自评'!$F$2:$F$311,MATCH(ROWS($D$2:D141),'02_能力差距自评'!$W$2:$W$311,0)),"")</f>
        <v/>
      </c>
      <c r="E141" s="8" t="str">
        <f>IF($D141="","",INDEX('02_能力差距自评'!$G:$G,MATCH($D141,'02_能力差距自评'!$F:$F,0)))</f>
        <v/>
      </c>
      <c r="F141" s="8" t="str">
        <f>IF($D141="","",INDEX('02_能力差距自评'!$C:$C,MATCH($D141,'02_能力差距自评'!$F:$F,0)))</f>
        <v/>
      </c>
      <c r="G141" s="8" t="str">
        <f>IF($D141="","",INDEX('02_能力差距自评'!$E:$E,MATCH($D141,'02_能力差距自评'!$F:$F,0)))</f>
        <v/>
      </c>
      <c r="H141" s="8" t="str">
        <f>IF($D141="","",INDEX('02_能力差距自评'!$L:$L,MATCH($D141,'02_能力差距自评'!$F:$F,0)))</f>
        <v/>
      </c>
      <c r="I141" s="8" t="str">
        <f>IF($D141="","",INDEX('02_能力差距自评'!$M:$M,MATCH($D141,'02_能力差距自评'!$F:$F,0)))</f>
        <v/>
      </c>
      <c r="J141" s="8" t="str">
        <f>IF($D141="","",INDEX('02_能力差距自评'!$N:$N,MATCH($D141,'02_能力差距自评'!$F:$F,0)))</f>
        <v/>
      </c>
      <c r="K141" s="8" t="str">
        <f>IF($D141="","",INDEX('02_能力差距自评'!$O:$O,MATCH($D141,'02_能力差距自评'!$F:$F,0)))</f>
        <v/>
      </c>
      <c r="L141" s="8" t="str">
        <f>IF($D141="","",INDEX('02_能力差距自评'!$I:$I,MATCH($D141,'02_能力差距自评'!$F:$F,0)))</f>
        <v/>
      </c>
      <c r="M141" s="8" t="str">
        <f t="shared" si="4"/>
        <v/>
      </c>
      <c r="N141" s="8" t="str">
        <f>IF($D141="","",INDEX('02_能力差距自评'!$J:$J,MATCH($D141,'02_能力差距自评'!$F:$F,0)))</f>
        <v/>
      </c>
      <c r="O141" s="8" t="str">
        <f>IF($D141="","",INDEX('02_能力差距自评'!$K:$K,MATCH($D141,'02_能力差距自评'!$F:$F,0)))</f>
        <v/>
      </c>
      <c r="P141" s="8"/>
      <c r="Q141" s="8"/>
      <c r="R141" s="8"/>
      <c r="S141" s="8" t="str">
        <f t="shared" si="5"/>
        <v/>
      </c>
      <c r="T141" s="8"/>
      <c r="U141" s="8"/>
      <c r="V141" s="8"/>
    </row>
    <row r="142" spans="1:22">
      <c r="A142" s="8" t="str">
        <f>IF($D142="","","LP"&amp;TEXT(ROWS($A$2:A142),"000"))</f>
        <v/>
      </c>
      <c r="B142" s="8" t="str">
        <f>IF($D142="","",IFERROR(INDEX('02_能力差距自评'!$Q:$Q,MATCH($D142,'02_能力差距自评'!$F:$F,0)),""))</f>
        <v/>
      </c>
      <c r="C142" s="8" t="str">
        <f>IF($D142="","",IFERROR(INDEX('02_能力差距自评'!$R:$R,MATCH($D142,'02_能力差距自评'!$F:$F,0)),""))</f>
        <v/>
      </c>
      <c r="D142" s="8" t="str">
        <f>IFERROR(INDEX('02_能力差距自评'!$F$2:$F$311,MATCH(ROWS($D$2:D142),'02_能力差距自评'!$W$2:$W$311,0)),"")</f>
        <v/>
      </c>
      <c r="E142" s="8" t="str">
        <f>IF($D142="","",INDEX('02_能力差距自评'!$G:$G,MATCH($D142,'02_能力差距自评'!$F:$F,0)))</f>
        <v/>
      </c>
      <c r="F142" s="8" t="str">
        <f>IF($D142="","",INDEX('02_能力差距自评'!$C:$C,MATCH($D142,'02_能力差距自评'!$F:$F,0)))</f>
        <v/>
      </c>
      <c r="G142" s="8" t="str">
        <f>IF($D142="","",INDEX('02_能力差距自评'!$E:$E,MATCH($D142,'02_能力差距自评'!$F:$F,0)))</f>
        <v/>
      </c>
      <c r="H142" s="8" t="str">
        <f>IF($D142="","",INDEX('02_能力差距自评'!$L:$L,MATCH($D142,'02_能力差距自评'!$F:$F,0)))</f>
        <v/>
      </c>
      <c r="I142" s="8" t="str">
        <f>IF($D142="","",INDEX('02_能力差距自评'!$M:$M,MATCH($D142,'02_能力差距自评'!$F:$F,0)))</f>
        <v/>
      </c>
      <c r="J142" s="8" t="str">
        <f>IF($D142="","",INDEX('02_能力差距自评'!$N:$N,MATCH($D142,'02_能力差距自评'!$F:$F,0)))</f>
        <v/>
      </c>
      <c r="K142" s="8" t="str">
        <f>IF($D142="","",INDEX('02_能力差距自评'!$O:$O,MATCH($D142,'02_能力差距自评'!$F:$F,0)))</f>
        <v/>
      </c>
      <c r="L142" s="8" t="str">
        <f>IF($D142="","",INDEX('02_能力差距自评'!$I:$I,MATCH($D142,'02_能力差距自评'!$F:$F,0)))</f>
        <v/>
      </c>
      <c r="M142" s="8" t="str">
        <f t="shared" si="4"/>
        <v/>
      </c>
      <c r="N142" s="8" t="str">
        <f>IF($D142="","",INDEX('02_能力差距自评'!$J:$J,MATCH($D142,'02_能力差距自评'!$F:$F,0)))</f>
        <v/>
      </c>
      <c r="O142" s="8" t="str">
        <f>IF($D142="","",INDEX('02_能力差距自评'!$K:$K,MATCH($D142,'02_能力差距自评'!$F:$F,0)))</f>
        <v/>
      </c>
      <c r="P142" s="8"/>
      <c r="Q142" s="8"/>
      <c r="R142" s="8"/>
      <c r="S142" s="8" t="str">
        <f t="shared" si="5"/>
        <v/>
      </c>
      <c r="T142" s="8"/>
      <c r="U142" s="8"/>
      <c r="V142" s="8"/>
    </row>
    <row r="143" spans="1:22">
      <c r="A143" s="8" t="str">
        <f>IF($D143="","","LP"&amp;TEXT(ROWS($A$2:A143),"000"))</f>
        <v/>
      </c>
      <c r="B143" s="8" t="str">
        <f>IF($D143="","",IFERROR(INDEX('02_能力差距自评'!$Q:$Q,MATCH($D143,'02_能力差距自评'!$F:$F,0)),""))</f>
        <v/>
      </c>
      <c r="C143" s="8" t="str">
        <f>IF($D143="","",IFERROR(INDEX('02_能力差距自评'!$R:$R,MATCH($D143,'02_能力差距自评'!$F:$F,0)),""))</f>
        <v/>
      </c>
      <c r="D143" s="8" t="str">
        <f>IFERROR(INDEX('02_能力差距自评'!$F$2:$F$311,MATCH(ROWS($D$2:D143),'02_能力差距自评'!$W$2:$W$311,0)),"")</f>
        <v/>
      </c>
      <c r="E143" s="8" t="str">
        <f>IF($D143="","",INDEX('02_能力差距自评'!$G:$G,MATCH($D143,'02_能力差距自评'!$F:$F,0)))</f>
        <v/>
      </c>
      <c r="F143" s="8" t="str">
        <f>IF($D143="","",INDEX('02_能力差距自评'!$C:$C,MATCH($D143,'02_能力差距自评'!$F:$F,0)))</f>
        <v/>
      </c>
      <c r="G143" s="8" t="str">
        <f>IF($D143="","",INDEX('02_能力差距自评'!$E:$E,MATCH($D143,'02_能力差距自评'!$F:$F,0)))</f>
        <v/>
      </c>
      <c r="H143" s="8" t="str">
        <f>IF($D143="","",INDEX('02_能力差距自评'!$L:$L,MATCH($D143,'02_能力差距自评'!$F:$F,0)))</f>
        <v/>
      </c>
      <c r="I143" s="8" t="str">
        <f>IF($D143="","",INDEX('02_能力差距自评'!$M:$M,MATCH($D143,'02_能力差距自评'!$F:$F,0)))</f>
        <v/>
      </c>
      <c r="J143" s="8" t="str">
        <f>IF($D143="","",INDEX('02_能力差距自评'!$N:$N,MATCH($D143,'02_能力差距自评'!$F:$F,0)))</f>
        <v/>
      </c>
      <c r="K143" s="8" t="str">
        <f>IF($D143="","",INDEX('02_能力差距自评'!$O:$O,MATCH($D143,'02_能力差距自评'!$F:$F,0)))</f>
        <v/>
      </c>
      <c r="L143" s="8" t="str">
        <f>IF($D143="","",INDEX('02_能力差距自评'!$I:$I,MATCH($D143,'02_能力差距自评'!$F:$F,0)))</f>
        <v/>
      </c>
      <c r="M143" s="8" t="str">
        <f t="shared" si="4"/>
        <v/>
      </c>
      <c r="N143" s="8" t="str">
        <f>IF($D143="","",INDEX('02_能力差距自评'!$J:$J,MATCH($D143,'02_能力差距自评'!$F:$F,0)))</f>
        <v/>
      </c>
      <c r="O143" s="8" t="str">
        <f>IF($D143="","",INDEX('02_能力差距自评'!$K:$K,MATCH($D143,'02_能力差距自评'!$F:$F,0)))</f>
        <v/>
      </c>
      <c r="P143" s="8"/>
      <c r="Q143" s="8"/>
      <c r="R143" s="8"/>
      <c r="S143" s="8" t="str">
        <f t="shared" si="5"/>
        <v/>
      </c>
      <c r="T143" s="8"/>
      <c r="U143" s="8"/>
      <c r="V143" s="8"/>
    </row>
    <row r="144" spans="1:22">
      <c r="A144" s="8" t="str">
        <f>IF($D144="","","LP"&amp;TEXT(ROWS($A$2:A144),"000"))</f>
        <v/>
      </c>
      <c r="B144" s="8" t="str">
        <f>IF($D144="","",IFERROR(INDEX('02_能力差距自评'!$Q:$Q,MATCH($D144,'02_能力差距自评'!$F:$F,0)),""))</f>
        <v/>
      </c>
      <c r="C144" s="8" t="str">
        <f>IF($D144="","",IFERROR(INDEX('02_能力差距自评'!$R:$R,MATCH($D144,'02_能力差距自评'!$F:$F,0)),""))</f>
        <v/>
      </c>
      <c r="D144" s="8" t="str">
        <f>IFERROR(INDEX('02_能力差距自评'!$F$2:$F$311,MATCH(ROWS($D$2:D144),'02_能力差距自评'!$W$2:$W$311,0)),"")</f>
        <v/>
      </c>
      <c r="E144" s="8" t="str">
        <f>IF($D144="","",INDEX('02_能力差距自评'!$G:$G,MATCH($D144,'02_能力差距自评'!$F:$F,0)))</f>
        <v/>
      </c>
      <c r="F144" s="8" t="str">
        <f>IF($D144="","",INDEX('02_能力差距自评'!$C:$C,MATCH($D144,'02_能力差距自评'!$F:$F,0)))</f>
        <v/>
      </c>
      <c r="G144" s="8" t="str">
        <f>IF($D144="","",INDEX('02_能力差距自评'!$E:$E,MATCH($D144,'02_能力差距自评'!$F:$F,0)))</f>
        <v/>
      </c>
      <c r="H144" s="8" t="str">
        <f>IF($D144="","",INDEX('02_能力差距自评'!$L:$L,MATCH($D144,'02_能力差距自评'!$F:$F,0)))</f>
        <v/>
      </c>
      <c r="I144" s="8" t="str">
        <f>IF($D144="","",INDEX('02_能力差距自评'!$M:$M,MATCH($D144,'02_能力差距自评'!$F:$F,0)))</f>
        <v/>
      </c>
      <c r="J144" s="8" t="str">
        <f>IF($D144="","",INDEX('02_能力差距自评'!$N:$N,MATCH($D144,'02_能力差距自评'!$F:$F,0)))</f>
        <v/>
      </c>
      <c r="K144" s="8" t="str">
        <f>IF($D144="","",INDEX('02_能力差距自评'!$O:$O,MATCH($D144,'02_能力差距自评'!$F:$F,0)))</f>
        <v/>
      </c>
      <c r="L144" s="8" t="str">
        <f>IF($D144="","",INDEX('02_能力差距自评'!$I:$I,MATCH($D144,'02_能力差距自评'!$F:$F,0)))</f>
        <v/>
      </c>
      <c r="M144" s="8" t="str">
        <f t="shared" si="4"/>
        <v/>
      </c>
      <c r="N144" s="8" t="str">
        <f>IF($D144="","",INDEX('02_能力差距自评'!$J:$J,MATCH($D144,'02_能力差距自评'!$F:$F,0)))</f>
        <v/>
      </c>
      <c r="O144" s="8" t="str">
        <f>IF($D144="","",INDEX('02_能力差距自评'!$K:$K,MATCH($D144,'02_能力差距自评'!$F:$F,0)))</f>
        <v/>
      </c>
      <c r="P144" s="8"/>
      <c r="Q144" s="8"/>
      <c r="R144" s="8"/>
      <c r="S144" s="8" t="str">
        <f t="shared" si="5"/>
        <v/>
      </c>
      <c r="T144" s="8"/>
      <c r="U144" s="8"/>
      <c r="V144" s="8"/>
    </row>
    <row r="145" spans="1:22">
      <c r="A145" s="8" t="str">
        <f>IF($D145="","","LP"&amp;TEXT(ROWS($A$2:A145),"000"))</f>
        <v/>
      </c>
      <c r="B145" s="8" t="str">
        <f>IF($D145="","",IFERROR(INDEX('02_能力差距自评'!$Q:$Q,MATCH($D145,'02_能力差距自评'!$F:$F,0)),""))</f>
        <v/>
      </c>
      <c r="C145" s="8" t="str">
        <f>IF($D145="","",IFERROR(INDEX('02_能力差距自评'!$R:$R,MATCH($D145,'02_能力差距自评'!$F:$F,0)),""))</f>
        <v/>
      </c>
      <c r="D145" s="8" t="str">
        <f>IFERROR(INDEX('02_能力差距自评'!$F$2:$F$311,MATCH(ROWS($D$2:D145),'02_能力差距自评'!$W$2:$W$311,0)),"")</f>
        <v/>
      </c>
      <c r="E145" s="8" t="str">
        <f>IF($D145="","",INDEX('02_能力差距自评'!$G:$G,MATCH($D145,'02_能力差距自评'!$F:$F,0)))</f>
        <v/>
      </c>
      <c r="F145" s="8" t="str">
        <f>IF($D145="","",INDEX('02_能力差距自评'!$C:$C,MATCH($D145,'02_能力差距自评'!$F:$F,0)))</f>
        <v/>
      </c>
      <c r="G145" s="8" t="str">
        <f>IF($D145="","",INDEX('02_能力差距自评'!$E:$E,MATCH($D145,'02_能力差距自评'!$F:$F,0)))</f>
        <v/>
      </c>
      <c r="H145" s="8" t="str">
        <f>IF($D145="","",INDEX('02_能力差距自评'!$L:$L,MATCH($D145,'02_能力差距自评'!$F:$F,0)))</f>
        <v/>
      </c>
      <c r="I145" s="8" t="str">
        <f>IF($D145="","",INDEX('02_能力差距自评'!$M:$M,MATCH($D145,'02_能力差距自评'!$F:$F,0)))</f>
        <v/>
      </c>
      <c r="J145" s="8" t="str">
        <f>IF($D145="","",INDEX('02_能力差距自评'!$N:$N,MATCH($D145,'02_能力差距自评'!$F:$F,0)))</f>
        <v/>
      </c>
      <c r="K145" s="8" t="str">
        <f>IF($D145="","",INDEX('02_能力差距自评'!$O:$O,MATCH($D145,'02_能力差距自评'!$F:$F,0)))</f>
        <v/>
      </c>
      <c r="L145" s="8" t="str">
        <f>IF($D145="","",INDEX('02_能力差距自评'!$I:$I,MATCH($D145,'02_能力差距自评'!$F:$F,0)))</f>
        <v/>
      </c>
      <c r="M145" s="8" t="str">
        <f t="shared" si="4"/>
        <v/>
      </c>
      <c r="N145" s="8" t="str">
        <f>IF($D145="","",INDEX('02_能力差距自评'!$J:$J,MATCH($D145,'02_能力差距自评'!$F:$F,0)))</f>
        <v/>
      </c>
      <c r="O145" s="8" t="str">
        <f>IF($D145="","",INDEX('02_能力差距自评'!$K:$K,MATCH($D145,'02_能力差距自评'!$F:$F,0)))</f>
        <v/>
      </c>
      <c r="P145" s="8"/>
      <c r="Q145" s="8"/>
      <c r="R145" s="8"/>
      <c r="S145" s="8" t="str">
        <f t="shared" si="5"/>
        <v/>
      </c>
      <c r="T145" s="8"/>
      <c r="U145" s="8"/>
      <c r="V145" s="8"/>
    </row>
    <row r="146" spans="1:22">
      <c r="A146" s="8" t="str">
        <f>IF($D146="","","LP"&amp;TEXT(ROWS($A$2:A146),"000"))</f>
        <v/>
      </c>
      <c r="B146" s="8" t="str">
        <f>IF($D146="","",IFERROR(INDEX('02_能力差距自评'!$Q:$Q,MATCH($D146,'02_能力差距自评'!$F:$F,0)),""))</f>
        <v/>
      </c>
      <c r="C146" s="8" t="str">
        <f>IF($D146="","",IFERROR(INDEX('02_能力差距自评'!$R:$R,MATCH($D146,'02_能力差距自评'!$F:$F,0)),""))</f>
        <v/>
      </c>
      <c r="D146" s="8" t="str">
        <f>IFERROR(INDEX('02_能力差距自评'!$F$2:$F$311,MATCH(ROWS($D$2:D146),'02_能力差距自评'!$W$2:$W$311,0)),"")</f>
        <v/>
      </c>
      <c r="E146" s="8" t="str">
        <f>IF($D146="","",INDEX('02_能力差距自评'!$G:$G,MATCH($D146,'02_能力差距自评'!$F:$F,0)))</f>
        <v/>
      </c>
      <c r="F146" s="8" t="str">
        <f>IF($D146="","",INDEX('02_能力差距自评'!$C:$C,MATCH($D146,'02_能力差距自评'!$F:$F,0)))</f>
        <v/>
      </c>
      <c r="G146" s="8" t="str">
        <f>IF($D146="","",INDEX('02_能力差距自评'!$E:$E,MATCH($D146,'02_能力差距自评'!$F:$F,0)))</f>
        <v/>
      </c>
      <c r="H146" s="8" t="str">
        <f>IF($D146="","",INDEX('02_能力差距自评'!$L:$L,MATCH($D146,'02_能力差距自评'!$F:$F,0)))</f>
        <v/>
      </c>
      <c r="I146" s="8" t="str">
        <f>IF($D146="","",INDEX('02_能力差距自评'!$M:$M,MATCH($D146,'02_能力差距自评'!$F:$F,0)))</f>
        <v/>
      </c>
      <c r="J146" s="8" t="str">
        <f>IF($D146="","",INDEX('02_能力差距自评'!$N:$N,MATCH($D146,'02_能力差距自评'!$F:$F,0)))</f>
        <v/>
      </c>
      <c r="K146" s="8" t="str">
        <f>IF($D146="","",INDEX('02_能力差距自评'!$O:$O,MATCH($D146,'02_能力差距自评'!$F:$F,0)))</f>
        <v/>
      </c>
      <c r="L146" s="8" t="str">
        <f>IF($D146="","",INDEX('02_能力差距自评'!$I:$I,MATCH($D146,'02_能力差距自评'!$F:$F,0)))</f>
        <v/>
      </c>
      <c r="M146" s="8" t="str">
        <f t="shared" si="4"/>
        <v/>
      </c>
      <c r="N146" s="8" t="str">
        <f>IF($D146="","",INDEX('02_能力差距自评'!$J:$J,MATCH($D146,'02_能力差距自评'!$F:$F,0)))</f>
        <v/>
      </c>
      <c r="O146" s="8" t="str">
        <f>IF($D146="","",INDEX('02_能力差距自评'!$K:$K,MATCH($D146,'02_能力差距自评'!$F:$F,0)))</f>
        <v/>
      </c>
      <c r="P146" s="8"/>
      <c r="Q146" s="8"/>
      <c r="R146" s="8"/>
      <c r="S146" s="8" t="str">
        <f t="shared" si="5"/>
        <v/>
      </c>
      <c r="T146" s="8"/>
      <c r="U146" s="8"/>
      <c r="V146" s="8"/>
    </row>
    <row r="147" spans="1:22">
      <c r="A147" s="8" t="str">
        <f>IF($D147="","","LP"&amp;TEXT(ROWS($A$2:A147),"000"))</f>
        <v/>
      </c>
      <c r="B147" s="8" t="str">
        <f>IF($D147="","",IFERROR(INDEX('02_能力差距自评'!$Q:$Q,MATCH($D147,'02_能力差距自评'!$F:$F,0)),""))</f>
        <v/>
      </c>
      <c r="C147" s="8" t="str">
        <f>IF($D147="","",IFERROR(INDEX('02_能力差距自评'!$R:$R,MATCH($D147,'02_能力差距自评'!$F:$F,0)),""))</f>
        <v/>
      </c>
      <c r="D147" s="8" t="str">
        <f>IFERROR(INDEX('02_能力差距自评'!$F$2:$F$311,MATCH(ROWS($D$2:D147),'02_能力差距自评'!$W$2:$W$311,0)),"")</f>
        <v/>
      </c>
      <c r="E147" s="8" t="str">
        <f>IF($D147="","",INDEX('02_能力差距自评'!$G:$G,MATCH($D147,'02_能力差距自评'!$F:$F,0)))</f>
        <v/>
      </c>
      <c r="F147" s="8" t="str">
        <f>IF($D147="","",INDEX('02_能力差距自评'!$C:$C,MATCH($D147,'02_能力差距自评'!$F:$F,0)))</f>
        <v/>
      </c>
      <c r="G147" s="8" t="str">
        <f>IF($D147="","",INDEX('02_能力差距自评'!$E:$E,MATCH($D147,'02_能力差距自评'!$F:$F,0)))</f>
        <v/>
      </c>
      <c r="H147" s="8" t="str">
        <f>IF($D147="","",INDEX('02_能力差距自评'!$L:$L,MATCH($D147,'02_能力差距自评'!$F:$F,0)))</f>
        <v/>
      </c>
      <c r="I147" s="8" t="str">
        <f>IF($D147="","",INDEX('02_能力差距自评'!$M:$M,MATCH($D147,'02_能力差距自评'!$F:$F,0)))</f>
        <v/>
      </c>
      <c r="J147" s="8" t="str">
        <f>IF($D147="","",INDEX('02_能力差距自评'!$N:$N,MATCH($D147,'02_能力差距自评'!$F:$F,0)))</f>
        <v/>
      </c>
      <c r="K147" s="8" t="str">
        <f>IF($D147="","",INDEX('02_能力差距自评'!$O:$O,MATCH($D147,'02_能力差距自评'!$F:$F,0)))</f>
        <v/>
      </c>
      <c r="L147" s="8" t="str">
        <f>IF($D147="","",INDEX('02_能力差距自评'!$I:$I,MATCH($D147,'02_能力差距自评'!$F:$F,0)))</f>
        <v/>
      </c>
      <c r="M147" s="8" t="str">
        <f t="shared" si="4"/>
        <v/>
      </c>
      <c r="N147" s="8" t="str">
        <f>IF($D147="","",INDEX('02_能力差距自评'!$J:$J,MATCH($D147,'02_能力差距自评'!$F:$F,0)))</f>
        <v/>
      </c>
      <c r="O147" s="8" t="str">
        <f>IF($D147="","",INDEX('02_能力差距自评'!$K:$K,MATCH($D147,'02_能力差距自评'!$F:$F,0)))</f>
        <v/>
      </c>
      <c r="P147" s="8"/>
      <c r="Q147" s="8"/>
      <c r="R147" s="8"/>
      <c r="S147" s="8" t="str">
        <f t="shared" si="5"/>
        <v/>
      </c>
      <c r="T147" s="8"/>
      <c r="U147" s="8"/>
      <c r="V147" s="8"/>
    </row>
    <row r="148" spans="1:22">
      <c r="A148" s="8" t="str">
        <f>IF($D148="","","LP"&amp;TEXT(ROWS($A$2:A148),"000"))</f>
        <v/>
      </c>
      <c r="B148" s="8" t="str">
        <f>IF($D148="","",IFERROR(INDEX('02_能力差距自评'!$Q:$Q,MATCH($D148,'02_能力差距自评'!$F:$F,0)),""))</f>
        <v/>
      </c>
      <c r="C148" s="8" t="str">
        <f>IF($D148="","",IFERROR(INDEX('02_能力差距自评'!$R:$R,MATCH($D148,'02_能力差距自评'!$F:$F,0)),""))</f>
        <v/>
      </c>
      <c r="D148" s="8" t="str">
        <f>IFERROR(INDEX('02_能力差距自评'!$F$2:$F$311,MATCH(ROWS($D$2:D148),'02_能力差距自评'!$W$2:$W$311,0)),"")</f>
        <v/>
      </c>
      <c r="E148" s="8" t="str">
        <f>IF($D148="","",INDEX('02_能力差距自评'!$G:$G,MATCH($D148,'02_能力差距自评'!$F:$F,0)))</f>
        <v/>
      </c>
      <c r="F148" s="8" t="str">
        <f>IF($D148="","",INDEX('02_能力差距自评'!$C:$C,MATCH($D148,'02_能力差距自评'!$F:$F,0)))</f>
        <v/>
      </c>
      <c r="G148" s="8" t="str">
        <f>IF($D148="","",INDEX('02_能力差距自评'!$E:$E,MATCH($D148,'02_能力差距自评'!$F:$F,0)))</f>
        <v/>
      </c>
      <c r="H148" s="8" t="str">
        <f>IF($D148="","",INDEX('02_能力差距自评'!$L:$L,MATCH($D148,'02_能力差距自评'!$F:$F,0)))</f>
        <v/>
      </c>
      <c r="I148" s="8" t="str">
        <f>IF($D148="","",INDEX('02_能力差距自评'!$M:$M,MATCH($D148,'02_能力差距自评'!$F:$F,0)))</f>
        <v/>
      </c>
      <c r="J148" s="8" t="str">
        <f>IF($D148="","",INDEX('02_能力差距自评'!$N:$N,MATCH($D148,'02_能力差距自评'!$F:$F,0)))</f>
        <v/>
      </c>
      <c r="K148" s="8" t="str">
        <f>IF($D148="","",INDEX('02_能力差距自评'!$O:$O,MATCH($D148,'02_能力差距自评'!$F:$F,0)))</f>
        <v/>
      </c>
      <c r="L148" s="8" t="str">
        <f>IF($D148="","",INDEX('02_能力差距自评'!$I:$I,MATCH($D148,'02_能力差距自评'!$F:$F,0)))</f>
        <v/>
      </c>
      <c r="M148" s="8" t="str">
        <f t="shared" si="4"/>
        <v/>
      </c>
      <c r="N148" s="8" t="str">
        <f>IF($D148="","",INDEX('02_能力差距自评'!$J:$J,MATCH($D148,'02_能力差距自评'!$F:$F,0)))</f>
        <v/>
      </c>
      <c r="O148" s="8" t="str">
        <f>IF($D148="","",INDEX('02_能力差距自评'!$K:$K,MATCH($D148,'02_能力差距自评'!$F:$F,0)))</f>
        <v/>
      </c>
      <c r="P148" s="8"/>
      <c r="Q148" s="8"/>
      <c r="R148" s="8"/>
      <c r="S148" s="8" t="str">
        <f t="shared" si="5"/>
        <v/>
      </c>
      <c r="T148" s="8"/>
      <c r="U148" s="8"/>
      <c r="V148" s="8"/>
    </row>
    <row r="149" spans="1:22">
      <c r="A149" s="8" t="str">
        <f>IF($D149="","","LP"&amp;TEXT(ROWS($A$2:A149),"000"))</f>
        <v/>
      </c>
      <c r="B149" s="8" t="str">
        <f>IF($D149="","",IFERROR(INDEX('02_能力差距自评'!$Q:$Q,MATCH($D149,'02_能力差距自评'!$F:$F,0)),""))</f>
        <v/>
      </c>
      <c r="C149" s="8" t="str">
        <f>IF($D149="","",IFERROR(INDEX('02_能力差距自评'!$R:$R,MATCH($D149,'02_能力差距自评'!$F:$F,0)),""))</f>
        <v/>
      </c>
      <c r="D149" s="8" t="str">
        <f>IFERROR(INDEX('02_能力差距自评'!$F$2:$F$311,MATCH(ROWS($D$2:D149),'02_能力差距自评'!$W$2:$W$311,0)),"")</f>
        <v/>
      </c>
      <c r="E149" s="8" t="str">
        <f>IF($D149="","",INDEX('02_能力差距自评'!$G:$G,MATCH($D149,'02_能力差距自评'!$F:$F,0)))</f>
        <v/>
      </c>
      <c r="F149" s="8" t="str">
        <f>IF($D149="","",INDEX('02_能力差距自评'!$C:$C,MATCH($D149,'02_能力差距自评'!$F:$F,0)))</f>
        <v/>
      </c>
      <c r="G149" s="8" t="str">
        <f>IF($D149="","",INDEX('02_能力差距自评'!$E:$E,MATCH($D149,'02_能力差距自评'!$F:$F,0)))</f>
        <v/>
      </c>
      <c r="H149" s="8" t="str">
        <f>IF($D149="","",INDEX('02_能力差距自评'!$L:$L,MATCH($D149,'02_能力差距自评'!$F:$F,0)))</f>
        <v/>
      </c>
      <c r="I149" s="8" t="str">
        <f>IF($D149="","",INDEX('02_能力差距自评'!$M:$M,MATCH($D149,'02_能力差距自评'!$F:$F,0)))</f>
        <v/>
      </c>
      <c r="J149" s="8" t="str">
        <f>IF($D149="","",INDEX('02_能力差距自评'!$N:$N,MATCH($D149,'02_能力差距自评'!$F:$F,0)))</f>
        <v/>
      </c>
      <c r="K149" s="8" t="str">
        <f>IF($D149="","",INDEX('02_能力差距自评'!$O:$O,MATCH($D149,'02_能力差距自评'!$F:$F,0)))</f>
        <v/>
      </c>
      <c r="L149" s="8" t="str">
        <f>IF($D149="","",INDEX('02_能力差距自评'!$I:$I,MATCH($D149,'02_能力差距自评'!$F:$F,0)))</f>
        <v/>
      </c>
      <c r="M149" s="8" t="str">
        <f t="shared" si="4"/>
        <v/>
      </c>
      <c r="N149" s="8" t="str">
        <f>IF($D149="","",INDEX('02_能力差距自评'!$J:$J,MATCH($D149,'02_能力差距自评'!$F:$F,0)))</f>
        <v/>
      </c>
      <c r="O149" s="8" t="str">
        <f>IF($D149="","",INDEX('02_能力差距自评'!$K:$K,MATCH($D149,'02_能力差距自评'!$F:$F,0)))</f>
        <v/>
      </c>
      <c r="P149" s="8"/>
      <c r="Q149" s="8"/>
      <c r="R149" s="8"/>
      <c r="S149" s="8" t="str">
        <f t="shared" si="5"/>
        <v/>
      </c>
      <c r="T149" s="8"/>
      <c r="U149" s="8"/>
      <c r="V149" s="8"/>
    </row>
    <row r="150" spans="1:22">
      <c r="A150" s="8" t="str">
        <f>IF($D150="","","LP"&amp;TEXT(ROWS($A$2:A150),"000"))</f>
        <v/>
      </c>
      <c r="B150" s="8" t="str">
        <f>IF($D150="","",IFERROR(INDEX('02_能力差距自评'!$Q:$Q,MATCH($D150,'02_能力差距自评'!$F:$F,0)),""))</f>
        <v/>
      </c>
      <c r="C150" s="8" t="str">
        <f>IF($D150="","",IFERROR(INDEX('02_能力差距自评'!$R:$R,MATCH($D150,'02_能力差距自评'!$F:$F,0)),""))</f>
        <v/>
      </c>
      <c r="D150" s="8" t="str">
        <f>IFERROR(INDEX('02_能力差距自评'!$F$2:$F$311,MATCH(ROWS($D$2:D150),'02_能力差距自评'!$W$2:$W$311,0)),"")</f>
        <v/>
      </c>
      <c r="E150" s="8" t="str">
        <f>IF($D150="","",INDEX('02_能力差距自评'!$G:$G,MATCH($D150,'02_能力差距自评'!$F:$F,0)))</f>
        <v/>
      </c>
      <c r="F150" s="8" t="str">
        <f>IF($D150="","",INDEX('02_能力差距自评'!$C:$C,MATCH($D150,'02_能力差距自评'!$F:$F,0)))</f>
        <v/>
      </c>
      <c r="G150" s="8" t="str">
        <f>IF($D150="","",INDEX('02_能力差距自评'!$E:$E,MATCH($D150,'02_能力差距自评'!$F:$F,0)))</f>
        <v/>
      </c>
      <c r="H150" s="8" t="str">
        <f>IF($D150="","",INDEX('02_能力差距自评'!$L:$L,MATCH($D150,'02_能力差距自评'!$F:$F,0)))</f>
        <v/>
      </c>
      <c r="I150" s="8" t="str">
        <f>IF($D150="","",INDEX('02_能力差距自评'!$M:$M,MATCH($D150,'02_能力差距自评'!$F:$F,0)))</f>
        <v/>
      </c>
      <c r="J150" s="8" t="str">
        <f>IF($D150="","",INDEX('02_能力差距自评'!$N:$N,MATCH($D150,'02_能力差距自评'!$F:$F,0)))</f>
        <v/>
      </c>
      <c r="K150" s="8" t="str">
        <f>IF($D150="","",INDEX('02_能力差距自评'!$O:$O,MATCH($D150,'02_能力差距自评'!$F:$F,0)))</f>
        <v/>
      </c>
      <c r="L150" s="8" t="str">
        <f>IF($D150="","",INDEX('02_能力差距自评'!$I:$I,MATCH($D150,'02_能力差距自评'!$F:$F,0)))</f>
        <v/>
      </c>
      <c r="M150" s="8" t="str">
        <f t="shared" si="4"/>
        <v/>
      </c>
      <c r="N150" s="8" t="str">
        <f>IF($D150="","",INDEX('02_能力差距自评'!$J:$J,MATCH($D150,'02_能力差距自评'!$F:$F,0)))</f>
        <v/>
      </c>
      <c r="O150" s="8" t="str">
        <f>IF($D150="","",INDEX('02_能力差距自评'!$K:$K,MATCH($D150,'02_能力差距自评'!$F:$F,0)))</f>
        <v/>
      </c>
      <c r="P150" s="8"/>
      <c r="Q150" s="8"/>
      <c r="R150" s="8"/>
      <c r="S150" s="8" t="str">
        <f t="shared" si="5"/>
        <v/>
      </c>
      <c r="T150" s="8"/>
      <c r="U150" s="8"/>
      <c r="V150" s="8"/>
    </row>
    <row r="151" spans="1:22">
      <c r="A151" s="8" t="str">
        <f>IF($D151="","","LP"&amp;TEXT(ROWS($A$2:A151),"000"))</f>
        <v/>
      </c>
      <c r="B151" s="8" t="str">
        <f>IF($D151="","",IFERROR(INDEX('02_能力差距自评'!$Q:$Q,MATCH($D151,'02_能力差距自评'!$F:$F,0)),""))</f>
        <v/>
      </c>
      <c r="C151" s="8" t="str">
        <f>IF($D151="","",IFERROR(INDEX('02_能力差距自评'!$R:$R,MATCH($D151,'02_能力差距自评'!$F:$F,0)),""))</f>
        <v/>
      </c>
      <c r="D151" s="8" t="str">
        <f>IFERROR(INDEX('02_能力差距自评'!$F$2:$F$311,MATCH(ROWS($D$2:D151),'02_能力差距自评'!$W$2:$W$311,0)),"")</f>
        <v/>
      </c>
      <c r="E151" s="8" t="str">
        <f>IF($D151="","",INDEX('02_能力差距自评'!$G:$G,MATCH($D151,'02_能力差距自评'!$F:$F,0)))</f>
        <v/>
      </c>
      <c r="F151" s="8" t="str">
        <f>IF($D151="","",INDEX('02_能力差距自评'!$C:$C,MATCH($D151,'02_能力差距自评'!$F:$F,0)))</f>
        <v/>
      </c>
      <c r="G151" s="8" t="str">
        <f>IF($D151="","",INDEX('02_能力差距自评'!$E:$E,MATCH($D151,'02_能力差距自评'!$F:$F,0)))</f>
        <v/>
      </c>
      <c r="H151" s="8" t="str">
        <f>IF($D151="","",INDEX('02_能力差距自评'!$L:$L,MATCH($D151,'02_能力差距自评'!$F:$F,0)))</f>
        <v/>
      </c>
      <c r="I151" s="8" t="str">
        <f>IF($D151="","",INDEX('02_能力差距自评'!$M:$M,MATCH($D151,'02_能力差距自评'!$F:$F,0)))</f>
        <v/>
      </c>
      <c r="J151" s="8" t="str">
        <f>IF($D151="","",INDEX('02_能力差距自评'!$N:$N,MATCH($D151,'02_能力差距自评'!$F:$F,0)))</f>
        <v/>
      </c>
      <c r="K151" s="8" t="str">
        <f>IF($D151="","",INDEX('02_能力差距自评'!$O:$O,MATCH($D151,'02_能力差距自评'!$F:$F,0)))</f>
        <v/>
      </c>
      <c r="L151" s="8" t="str">
        <f>IF($D151="","",INDEX('02_能力差距自评'!$I:$I,MATCH($D151,'02_能力差距自评'!$F:$F,0)))</f>
        <v/>
      </c>
      <c r="M151" s="8" t="str">
        <f t="shared" si="4"/>
        <v/>
      </c>
      <c r="N151" s="8" t="str">
        <f>IF($D151="","",INDEX('02_能力差距自评'!$J:$J,MATCH($D151,'02_能力差距自评'!$F:$F,0)))</f>
        <v/>
      </c>
      <c r="O151" s="8" t="str">
        <f>IF($D151="","",INDEX('02_能力差距自评'!$K:$K,MATCH($D151,'02_能力差距自评'!$F:$F,0)))</f>
        <v/>
      </c>
      <c r="P151" s="8"/>
      <c r="Q151" s="8"/>
      <c r="R151" s="8"/>
      <c r="S151" s="8" t="str">
        <f t="shared" si="5"/>
        <v/>
      </c>
      <c r="T151" s="8"/>
      <c r="U151" s="8"/>
      <c r="V151" s="8"/>
    </row>
    <row r="152" spans="1:22">
      <c r="A152" s="8" t="str">
        <f>IF($D152="","","LP"&amp;TEXT(ROWS($A$2:A152),"000"))</f>
        <v/>
      </c>
      <c r="B152" s="8" t="str">
        <f>IF($D152="","",IFERROR(INDEX('02_能力差距自评'!$Q:$Q,MATCH($D152,'02_能力差距自评'!$F:$F,0)),""))</f>
        <v/>
      </c>
      <c r="C152" s="8" t="str">
        <f>IF($D152="","",IFERROR(INDEX('02_能力差距自评'!$R:$R,MATCH($D152,'02_能力差距自评'!$F:$F,0)),""))</f>
        <v/>
      </c>
      <c r="D152" s="8" t="str">
        <f>IFERROR(INDEX('02_能力差距自评'!$F$2:$F$311,MATCH(ROWS($D$2:D152),'02_能力差距自评'!$W$2:$W$311,0)),"")</f>
        <v/>
      </c>
      <c r="E152" s="8" t="str">
        <f>IF($D152="","",INDEX('02_能力差距自评'!$G:$G,MATCH($D152,'02_能力差距自评'!$F:$F,0)))</f>
        <v/>
      </c>
      <c r="F152" s="8" t="str">
        <f>IF($D152="","",INDEX('02_能力差距自评'!$C:$C,MATCH($D152,'02_能力差距自评'!$F:$F,0)))</f>
        <v/>
      </c>
      <c r="G152" s="8" t="str">
        <f>IF($D152="","",INDEX('02_能力差距自评'!$E:$E,MATCH($D152,'02_能力差距自评'!$F:$F,0)))</f>
        <v/>
      </c>
      <c r="H152" s="8" t="str">
        <f>IF($D152="","",INDEX('02_能力差距自评'!$L:$L,MATCH($D152,'02_能力差距自评'!$F:$F,0)))</f>
        <v/>
      </c>
      <c r="I152" s="8" t="str">
        <f>IF($D152="","",INDEX('02_能力差距自评'!$M:$M,MATCH($D152,'02_能力差距自评'!$F:$F,0)))</f>
        <v/>
      </c>
      <c r="J152" s="8" t="str">
        <f>IF($D152="","",INDEX('02_能力差距自评'!$N:$N,MATCH($D152,'02_能力差距自评'!$F:$F,0)))</f>
        <v/>
      </c>
      <c r="K152" s="8" t="str">
        <f>IF($D152="","",INDEX('02_能力差距自评'!$O:$O,MATCH($D152,'02_能力差距自评'!$F:$F,0)))</f>
        <v/>
      </c>
      <c r="L152" s="8" t="str">
        <f>IF($D152="","",INDEX('02_能力差距自评'!$I:$I,MATCH($D152,'02_能力差距自评'!$F:$F,0)))</f>
        <v/>
      </c>
      <c r="M152" s="8" t="str">
        <f t="shared" si="4"/>
        <v/>
      </c>
      <c r="N152" s="8" t="str">
        <f>IF($D152="","",INDEX('02_能力差距自评'!$J:$J,MATCH($D152,'02_能力差距自评'!$F:$F,0)))</f>
        <v/>
      </c>
      <c r="O152" s="8" t="str">
        <f>IF($D152="","",INDEX('02_能力差距自评'!$K:$K,MATCH($D152,'02_能力差距自评'!$F:$F,0)))</f>
        <v/>
      </c>
      <c r="P152" s="8"/>
      <c r="Q152" s="8"/>
      <c r="R152" s="8"/>
      <c r="S152" s="8" t="str">
        <f t="shared" si="5"/>
        <v/>
      </c>
      <c r="T152" s="8"/>
      <c r="U152" s="8"/>
      <c r="V152" s="8"/>
    </row>
    <row r="153" spans="1:22">
      <c r="A153" s="8" t="str">
        <f>IF($D153="","","LP"&amp;TEXT(ROWS($A$2:A153),"000"))</f>
        <v/>
      </c>
      <c r="B153" s="8" t="str">
        <f>IF($D153="","",IFERROR(INDEX('02_能力差距自评'!$Q:$Q,MATCH($D153,'02_能力差距自评'!$F:$F,0)),""))</f>
        <v/>
      </c>
      <c r="C153" s="8" t="str">
        <f>IF($D153="","",IFERROR(INDEX('02_能力差距自评'!$R:$R,MATCH($D153,'02_能力差距自评'!$F:$F,0)),""))</f>
        <v/>
      </c>
      <c r="D153" s="8" t="str">
        <f>IFERROR(INDEX('02_能力差距自评'!$F$2:$F$311,MATCH(ROWS($D$2:D153),'02_能力差距自评'!$W$2:$W$311,0)),"")</f>
        <v/>
      </c>
      <c r="E153" s="8" t="str">
        <f>IF($D153="","",INDEX('02_能力差距自评'!$G:$G,MATCH($D153,'02_能力差距自评'!$F:$F,0)))</f>
        <v/>
      </c>
      <c r="F153" s="8" t="str">
        <f>IF($D153="","",INDEX('02_能力差距自评'!$C:$C,MATCH($D153,'02_能力差距自评'!$F:$F,0)))</f>
        <v/>
      </c>
      <c r="G153" s="8" t="str">
        <f>IF($D153="","",INDEX('02_能力差距自评'!$E:$E,MATCH($D153,'02_能力差距自评'!$F:$F,0)))</f>
        <v/>
      </c>
      <c r="H153" s="8" t="str">
        <f>IF($D153="","",INDEX('02_能力差距自评'!$L:$L,MATCH($D153,'02_能力差距自评'!$F:$F,0)))</f>
        <v/>
      </c>
      <c r="I153" s="8" t="str">
        <f>IF($D153="","",INDEX('02_能力差距自评'!$M:$M,MATCH($D153,'02_能力差距自评'!$F:$F,0)))</f>
        <v/>
      </c>
      <c r="J153" s="8" t="str">
        <f>IF($D153="","",INDEX('02_能力差距自评'!$N:$N,MATCH($D153,'02_能力差距自评'!$F:$F,0)))</f>
        <v/>
      </c>
      <c r="K153" s="8" t="str">
        <f>IF($D153="","",INDEX('02_能力差距自评'!$O:$O,MATCH($D153,'02_能力差距自评'!$F:$F,0)))</f>
        <v/>
      </c>
      <c r="L153" s="8" t="str">
        <f>IF($D153="","",INDEX('02_能力差距自评'!$I:$I,MATCH($D153,'02_能力差距自评'!$F:$F,0)))</f>
        <v/>
      </c>
      <c r="M153" s="8" t="str">
        <f t="shared" si="4"/>
        <v/>
      </c>
      <c r="N153" s="8" t="str">
        <f>IF($D153="","",INDEX('02_能力差距自评'!$J:$J,MATCH($D153,'02_能力差距自评'!$F:$F,0)))</f>
        <v/>
      </c>
      <c r="O153" s="8" t="str">
        <f>IF($D153="","",INDEX('02_能力差距自评'!$K:$K,MATCH($D153,'02_能力差距自评'!$F:$F,0)))</f>
        <v/>
      </c>
      <c r="P153" s="8"/>
      <c r="Q153" s="8"/>
      <c r="R153" s="8"/>
      <c r="S153" s="8" t="str">
        <f t="shared" si="5"/>
        <v/>
      </c>
      <c r="T153" s="8"/>
      <c r="U153" s="8"/>
      <c r="V153" s="8"/>
    </row>
    <row r="154" spans="1:22">
      <c r="A154" s="8" t="str">
        <f>IF($D154="","","LP"&amp;TEXT(ROWS($A$2:A154),"000"))</f>
        <v/>
      </c>
      <c r="B154" s="8" t="str">
        <f>IF($D154="","",IFERROR(INDEX('02_能力差距自评'!$Q:$Q,MATCH($D154,'02_能力差距自评'!$F:$F,0)),""))</f>
        <v/>
      </c>
      <c r="C154" s="8" t="str">
        <f>IF($D154="","",IFERROR(INDEX('02_能力差距自评'!$R:$R,MATCH($D154,'02_能力差距自评'!$F:$F,0)),""))</f>
        <v/>
      </c>
      <c r="D154" s="8" t="str">
        <f>IFERROR(INDEX('02_能力差距自评'!$F$2:$F$311,MATCH(ROWS($D$2:D154),'02_能力差距自评'!$W$2:$W$311,0)),"")</f>
        <v/>
      </c>
      <c r="E154" s="8" t="str">
        <f>IF($D154="","",INDEX('02_能力差距自评'!$G:$G,MATCH($D154,'02_能力差距自评'!$F:$F,0)))</f>
        <v/>
      </c>
      <c r="F154" s="8" t="str">
        <f>IF($D154="","",INDEX('02_能力差距自评'!$C:$C,MATCH($D154,'02_能力差距自评'!$F:$F,0)))</f>
        <v/>
      </c>
      <c r="G154" s="8" t="str">
        <f>IF($D154="","",INDEX('02_能力差距自评'!$E:$E,MATCH($D154,'02_能力差距自评'!$F:$F,0)))</f>
        <v/>
      </c>
      <c r="H154" s="8" t="str">
        <f>IF($D154="","",INDEX('02_能力差距自评'!$L:$L,MATCH($D154,'02_能力差距自评'!$F:$F,0)))</f>
        <v/>
      </c>
      <c r="I154" s="8" t="str">
        <f>IF($D154="","",INDEX('02_能力差距自评'!$M:$M,MATCH($D154,'02_能力差距自评'!$F:$F,0)))</f>
        <v/>
      </c>
      <c r="J154" s="8" t="str">
        <f>IF($D154="","",INDEX('02_能力差距自评'!$N:$N,MATCH($D154,'02_能力差距自评'!$F:$F,0)))</f>
        <v/>
      </c>
      <c r="K154" s="8" t="str">
        <f>IF($D154="","",INDEX('02_能力差距自评'!$O:$O,MATCH($D154,'02_能力差距自评'!$F:$F,0)))</f>
        <v/>
      </c>
      <c r="L154" s="8" t="str">
        <f>IF($D154="","",INDEX('02_能力差距自评'!$I:$I,MATCH($D154,'02_能力差距自评'!$F:$F,0)))</f>
        <v/>
      </c>
      <c r="M154" s="8" t="str">
        <f t="shared" si="4"/>
        <v/>
      </c>
      <c r="N154" s="8" t="str">
        <f>IF($D154="","",INDEX('02_能力差距自评'!$J:$J,MATCH($D154,'02_能力差距自评'!$F:$F,0)))</f>
        <v/>
      </c>
      <c r="O154" s="8" t="str">
        <f>IF($D154="","",INDEX('02_能力差距自评'!$K:$K,MATCH($D154,'02_能力差距自评'!$F:$F,0)))</f>
        <v/>
      </c>
      <c r="P154" s="8"/>
      <c r="Q154" s="8"/>
      <c r="R154" s="8"/>
      <c r="S154" s="8" t="str">
        <f t="shared" si="5"/>
        <v/>
      </c>
      <c r="T154" s="8"/>
      <c r="U154" s="8"/>
      <c r="V154" s="8"/>
    </row>
    <row r="155" spans="1:22">
      <c r="A155" s="8" t="str">
        <f>IF($D155="","","LP"&amp;TEXT(ROWS($A$2:A155),"000"))</f>
        <v/>
      </c>
      <c r="B155" s="8" t="str">
        <f>IF($D155="","",IFERROR(INDEX('02_能力差距自评'!$Q:$Q,MATCH($D155,'02_能力差距自评'!$F:$F,0)),""))</f>
        <v/>
      </c>
      <c r="C155" s="8" t="str">
        <f>IF($D155="","",IFERROR(INDEX('02_能力差距自评'!$R:$R,MATCH($D155,'02_能力差距自评'!$F:$F,0)),""))</f>
        <v/>
      </c>
      <c r="D155" s="8" t="str">
        <f>IFERROR(INDEX('02_能力差距自评'!$F$2:$F$311,MATCH(ROWS($D$2:D155),'02_能力差距自评'!$W$2:$W$311,0)),"")</f>
        <v/>
      </c>
      <c r="E155" s="8" t="str">
        <f>IF($D155="","",INDEX('02_能力差距自评'!$G:$G,MATCH($D155,'02_能力差距自评'!$F:$F,0)))</f>
        <v/>
      </c>
      <c r="F155" s="8" t="str">
        <f>IF($D155="","",INDEX('02_能力差距自评'!$C:$C,MATCH($D155,'02_能力差距自评'!$F:$F,0)))</f>
        <v/>
      </c>
      <c r="G155" s="8" t="str">
        <f>IF($D155="","",INDEX('02_能力差距自评'!$E:$E,MATCH($D155,'02_能力差距自评'!$F:$F,0)))</f>
        <v/>
      </c>
      <c r="H155" s="8" t="str">
        <f>IF($D155="","",INDEX('02_能力差距自评'!$L:$L,MATCH($D155,'02_能力差距自评'!$F:$F,0)))</f>
        <v/>
      </c>
      <c r="I155" s="8" t="str">
        <f>IF($D155="","",INDEX('02_能力差距自评'!$M:$M,MATCH($D155,'02_能力差距自评'!$F:$F,0)))</f>
        <v/>
      </c>
      <c r="J155" s="8" t="str">
        <f>IF($D155="","",INDEX('02_能力差距自评'!$N:$N,MATCH($D155,'02_能力差距自评'!$F:$F,0)))</f>
        <v/>
      </c>
      <c r="K155" s="8" t="str">
        <f>IF($D155="","",INDEX('02_能力差距自评'!$O:$O,MATCH($D155,'02_能力差距自评'!$F:$F,0)))</f>
        <v/>
      </c>
      <c r="L155" s="8" t="str">
        <f>IF($D155="","",INDEX('02_能力差距自评'!$I:$I,MATCH($D155,'02_能力差距自评'!$F:$F,0)))</f>
        <v/>
      </c>
      <c r="M155" s="8" t="str">
        <f t="shared" si="4"/>
        <v/>
      </c>
      <c r="N155" s="8" t="str">
        <f>IF($D155="","",INDEX('02_能力差距自评'!$J:$J,MATCH($D155,'02_能力差距自评'!$F:$F,0)))</f>
        <v/>
      </c>
      <c r="O155" s="8" t="str">
        <f>IF($D155="","",INDEX('02_能力差距自评'!$K:$K,MATCH($D155,'02_能力差距自评'!$F:$F,0)))</f>
        <v/>
      </c>
      <c r="P155" s="8"/>
      <c r="Q155" s="8"/>
      <c r="R155" s="8"/>
      <c r="S155" s="8" t="str">
        <f t="shared" si="5"/>
        <v/>
      </c>
      <c r="T155" s="8"/>
      <c r="U155" s="8"/>
      <c r="V155" s="8"/>
    </row>
    <row r="156" spans="1:22">
      <c r="A156" s="8" t="str">
        <f>IF($D156="","","LP"&amp;TEXT(ROWS($A$2:A156),"000"))</f>
        <v/>
      </c>
      <c r="B156" s="8" t="str">
        <f>IF($D156="","",IFERROR(INDEX('02_能力差距自评'!$Q:$Q,MATCH($D156,'02_能力差距自评'!$F:$F,0)),""))</f>
        <v/>
      </c>
      <c r="C156" s="8" t="str">
        <f>IF($D156="","",IFERROR(INDEX('02_能力差距自评'!$R:$R,MATCH($D156,'02_能力差距自评'!$F:$F,0)),""))</f>
        <v/>
      </c>
      <c r="D156" s="8" t="str">
        <f>IFERROR(INDEX('02_能力差距自评'!$F$2:$F$311,MATCH(ROWS($D$2:D156),'02_能力差距自评'!$W$2:$W$311,0)),"")</f>
        <v/>
      </c>
      <c r="E156" s="8" t="str">
        <f>IF($D156="","",INDEX('02_能力差距自评'!$G:$G,MATCH($D156,'02_能力差距自评'!$F:$F,0)))</f>
        <v/>
      </c>
      <c r="F156" s="8" t="str">
        <f>IF($D156="","",INDEX('02_能力差距自评'!$C:$C,MATCH($D156,'02_能力差距自评'!$F:$F,0)))</f>
        <v/>
      </c>
      <c r="G156" s="8" t="str">
        <f>IF($D156="","",INDEX('02_能力差距自评'!$E:$E,MATCH($D156,'02_能力差距自评'!$F:$F,0)))</f>
        <v/>
      </c>
      <c r="H156" s="8" t="str">
        <f>IF($D156="","",INDEX('02_能力差距自评'!$L:$L,MATCH($D156,'02_能力差距自评'!$F:$F,0)))</f>
        <v/>
      </c>
      <c r="I156" s="8" t="str">
        <f>IF($D156="","",INDEX('02_能力差距自评'!$M:$M,MATCH($D156,'02_能力差距自评'!$F:$F,0)))</f>
        <v/>
      </c>
      <c r="J156" s="8" t="str">
        <f>IF($D156="","",INDEX('02_能力差距自评'!$N:$N,MATCH($D156,'02_能力差距自评'!$F:$F,0)))</f>
        <v/>
      </c>
      <c r="K156" s="8" t="str">
        <f>IF($D156="","",INDEX('02_能力差距自评'!$O:$O,MATCH($D156,'02_能力差距自评'!$F:$F,0)))</f>
        <v/>
      </c>
      <c r="L156" s="8" t="str">
        <f>IF($D156="","",INDEX('02_能力差距自评'!$I:$I,MATCH($D156,'02_能力差距自评'!$F:$F,0)))</f>
        <v/>
      </c>
      <c r="M156" s="8" t="str">
        <f t="shared" si="4"/>
        <v/>
      </c>
      <c r="N156" s="8" t="str">
        <f>IF($D156="","",INDEX('02_能力差距自评'!$J:$J,MATCH($D156,'02_能力差距自评'!$F:$F,0)))</f>
        <v/>
      </c>
      <c r="O156" s="8" t="str">
        <f>IF($D156="","",INDEX('02_能力差距自评'!$K:$K,MATCH($D156,'02_能力差距自评'!$F:$F,0)))</f>
        <v/>
      </c>
      <c r="P156" s="8"/>
      <c r="Q156" s="8"/>
      <c r="R156" s="8"/>
      <c r="S156" s="8" t="str">
        <f t="shared" si="5"/>
        <v/>
      </c>
      <c r="T156" s="8"/>
      <c r="U156" s="8"/>
      <c r="V156" s="8"/>
    </row>
    <row r="157" spans="1:22">
      <c r="A157" s="8" t="str">
        <f>IF($D157="","","LP"&amp;TEXT(ROWS($A$2:A157),"000"))</f>
        <v/>
      </c>
      <c r="B157" s="8" t="str">
        <f>IF($D157="","",IFERROR(INDEX('02_能力差距自评'!$Q:$Q,MATCH($D157,'02_能力差距自评'!$F:$F,0)),""))</f>
        <v/>
      </c>
      <c r="C157" s="8" t="str">
        <f>IF($D157="","",IFERROR(INDEX('02_能力差距自评'!$R:$R,MATCH($D157,'02_能力差距自评'!$F:$F,0)),""))</f>
        <v/>
      </c>
      <c r="D157" s="8" t="str">
        <f>IFERROR(INDEX('02_能力差距自评'!$F$2:$F$311,MATCH(ROWS($D$2:D157),'02_能力差距自评'!$W$2:$W$311,0)),"")</f>
        <v/>
      </c>
      <c r="E157" s="8" t="str">
        <f>IF($D157="","",INDEX('02_能力差距自评'!$G:$G,MATCH($D157,'02_能力差距自评'!$F:$F,0)))</f>
        <v/>
      </c>
      <c r="F157" s="8" t="str">
        <f>IF($D157="","",INDEX('02_能力差距自评'!$C:$C,MATCH($D157,'02_能力差距自评'!$F:$F,0)))</f>
        <v/>
      </c>
      <c r="G157" s="8" t="str">
        <f>IF($D157="","",INDEX('02_能力差距自评'!$E:$E,MATCH($D157,'02_能力差距自评'!$F:$F,0)))</f>
        <v/>
      </c>
      <c r="H157" s="8" t="str">
        <f>IF($D157="","",INDEX('02_能力差距自评'!$L:$L,MATCH($D157,'02_能力差距自评'!$F:$F,0)))</f>
        <v/>
      </c>
      <c r="I157" s="8" t="str">
        <f>IF($D157="","",INDEX('02_能力差距自评'!$M:$M,MATCH($D157,'02_能力差距自评'!$F:$F,0)))</f>
        <v/>
      </c>
      <c r="J157" s="8" t="str">
        <f>IF($D157="","",INDEX('02_能力差距自评'!$N:$N,MATCH($D157,'02_能力差距自评'!$F:$F,0)))</f>
        <v/>
      </c>
      <c r="K157" s="8" t="str">
        <f>IF($D157="","",INDEX('02_能力差距自评'!$O:$O,MATCH($D157,'02_能力差距自评'!$F:$F,0)))</f>
        <v/>
      </c>
      <c r="L157" s="8" t="str">
        <f>IF($D157="","",INDEX('02_能力差距自评'!$I:$I,MATCH($D157,'02_能力差距自评'!$F:$F,0)))</f>
        <v/>
      </c>
      <c r="M157" s="8" t="str">
        <f t="shared" si="4"/>
        <v/>
      </c>
      <c r="N157" s="8" t="str">
        <f>IF($D157="","",INDEX('02_能力差距自评'!$J:$J,MATCH($D157,'02_能力差距自评'!$F:$F,0)))</f>
        <v/>
      </c>
      <c r="O157" s="8" t="str">
        <f>IF($D157="","",INDEX('02_能力差距自评'!$K:$K,MATCH($D157,'02_能力差距自评'!$F:$F,0)))</f>
        <v/>
      </c>
      <c r="P157" s="8"/>
      <c r="Q157" s="8"/>
      <c r="R157" s="8"/>
      <c r="S157" s="8" t="str">
        <f t="shared" si="5"/>
        <v/>
      </c>
      <c r="T157" s="8"/>
      <c r="U157" s="8"/>
      <c r="V157" s="8"/>
    </row>
    <row r="158" spans="1:22">
      <c r="A158" s="8" t="str">
        <f>IF($D158="","","LP"&amp;TEXT(ROWS($A$2:A158),"000"))</f>
        <v/>
      </c>
      <c r="B158" s="8" t="str">
        <f>IF($D158="","",IFERROR(INDEX('02_能力差距自评'!$Q:$Q,MATCH($D158,'02_能力差距自评'!$F:$F,0)),""))</f>
        <v/>
      </c>
      <c r="C158" s="8" t="str">
        <f>IF($D158="","",IFERROR(INDEX('02_能力差距自评'!$R:$R,MATCH($D158,'02_能力差距自评'!$F:$F,0)),""))</f>
        <v/>
      </c>
      <c r="D158" s="8" t="str">
        <f>IFERROR(INDEX('02_能力差距自评'!$F$2:$F$311,MATCH(ROWS($D$2:D158),'02_能力差距自评'!$W$2:$W$311,0)),"")</f>
        <v/>
      </c>
      <c r="E158" s="8" t="str">
        <f>IF($D158="","",INDEX('02_能力差距自评'!$G:$G,MATCH($D158,'02_能力差距自评'!$F:$F,0)))</f>
        <v/>
      </c>
      <c r="F158" s="8" t="str">
        <f>IF($D158="","",INDEX('02_能力差距自评'!$C:$C,MATCH($D158,'02_能力差距自评'!$F:$F,0)))</f>
        <v/>
      </c>
      <c r="G158" s="8" t="str">
        <f>IF($D158="","",INDEX('02_能力差距自评'!$E:$E,MATCH($D158,'02_能力差距自评'!$F:$F,0)))</f>
        <v/>
      </c>
      <c r="H158" s="8" t="str">
        <f>IF($D158="","",INDEX('02_能力差距自评'!$L:$L,MATCH($D158,'02_能力差距自评'!$F:$F,0)))</f>
        <v/>
      </c>
      <c r="I158" s="8" t="str">
        <f>IF($D158="","",INDEX('02_能力差距自评'!$M:$M,MATCH($D158,'02_能力差距自评'!$F:$F,0)))</f>
        <v/>
      </c>
      <c r="J158" s="8" t="str">
        <f>IF($D158="","",INDEX('02_能力差距自评'!$N:$N,MATCH($D158,'02_能力差距自评'!$F:$F,0)))</f>
        <v/>
      </c>
      <c r="K158" s="8" t="str">
        <f>IF($D158="","",INDEX('02_能力差距自评'!$O:$O,MATCH($D158,'02_能力差距自评'!$F:$F,0)))</f>
        <v/>
      </c>
      <c r="L158" s="8" t="str">
        <f>IF($D158="","",INDEX('02_能力差距自评'!$I:$I,MATCH($D158,'02_能力差距自评'!$F:$F,0)))</f>
        <v/>
      </c>
      <c r="M158" s="8" t="str">
        <f t="shared" si="4"/>
        <v/>
      </c>
      <c r="N158" s="8" t="str">
        <f>IF($D158="","",INDEX('02_能力差距自评'!$J:$J,MATCH($D158,'02_能力差距自评'!$F:$F,0)))</f>
        <v/>
      </c>
      <c r="O158" s="8" t="str">
        <f>IF($D158="","",INDEX('02_能力差距自评'!$K:$K,MATCH($D158,'02_能力差距自评'!$F:$F,0)))</f>
        <v/>
      </c>
      <c r="P158" s="8"/>
      <c r="Q158" s="8"/>
      <c r="R158" s="8"/>
      <c r="S158" s="8" t="str">
        <f t="shared" si="5"/>
        <v/>
      </c>
      <c r="T158" s="8"/>
      <c r="U158" s="8"/>
      <c r="V158" s="8"/>
    </row>
    <row r="159" spans="1:22">
      <c r="A159" s="8" t="str">
        <f>IF($D159="","","LP"&amp;TEXT(ROWS($A$2:A159),"000"))</f>
        <v/>
      </c>
      <c r="B159" s="8" t="str">
        <f>IF($D159="","",IFERROR(INDEX('02_能力差距自评'!$Q:$Q,MATCH($D159,'02_能力差距自评'!$F:$F,0)),""))</f>
        <v/>
      </c>
      <c r="C159" s="8" t="str">
        <f>IF($D159="","",IFERROR(INDEX('02_能力差距自评'!$R:$R,MATCH($D159,'02_能力差距自评'!$F:$F,0)),""))</f>
        <v/>
      </c>
      <c r="D159" s="8" t="str">
        <f>IFERROR(INDEX('02_能力差距自评'!$F$2:$F$311,MATCH(ROWS($D$2:D159),'02_能力差距自评'!$W$2:$W$311,0)),"")</f>
        <v/>
      </c>
      <c r="E159" s="8" t="str">
        <f>IF($D159="","",INDEX('02_能力差距自评'!$G:$G,MATCH($D159,'02_能力差距自评'!$F:$F,0)))</f>
        <v/>
      </c>
      <c r="F159" s="8" t="str">
        <f>IF($D159="","",INDEX('02_能力差距自评'!$C:$C,MATCH($D159,'02_能力差距自评'!$F:$F,0)))</f>
        <v/>
      </c>
      <c r="G159" s="8" t="str">
        <f>IF($D159="","",INDEX('02_能力差距自评'!$E:$E,MATCH($D159,'02_能力差距自评'!$F:$F,0)))</f>
        <v/>
      </c>
      <c r="H159" s="8" t="str">
        <f>IF($D159="","",INDEX('02_能力差距自评'!$L:$L,MATCH($D159,'02_能力差距自评'!$F:$F,0)))</f>
        <v/>
      </c>
      <c r="I159" s="8" t="str">
        <f>IF($D159="","",INDEX('02_能力差距自评'!$M:$M,MATCH($D159,'02_能力差距自评'!$F:$F,0)))</f>
        <v/>
      </c>
      <c r="J159" s="8" t="str">
        <f>IF($D159="","",INDEX('02_能力差距自评'!$N:$N,MATCH($D159,'02_能力差距自评'!$F:$F,0)))</f>
        <v/>
      </c>
      <c r="K159" s="8" t="str">
        <f>IF($D159="","",INDEX('02_能力差距自评'!$O:$O,MATCH($D159,'02_能力差距自评'!$F:$F,0)))</f>
        <v/>
      </c>
      <c r="L159" s="8" t="str">
        <f>IF($D159="","",INDEX('02_能力差距自评'!$I:$I,MATCH($D159,'02_能力差距自评'!$F:$F,0)))</f>
        <v/>
      </c>
      <c r="M159" s="8" t="str">
        <f t="shared" si="4"/>
        <v/>
      </c>
      <c r="N159" s="8" t="str">
        <f>IF($D159="","",INDEX('02_能力差距自评'!$J:$J,MATCH($D159,'02_能力差距自评'!$F:$F,0)))</f>
        <v/>
      </c>
      <c r="O159" s="8" t="str">
        <f>IF($D159="","",INDEX('02_能力差距自评'!$K:$K,MATCH($D159,'02_能力差距自评'!$F:$F,0)))</f>
        <v/>
      </c>
      <c r="P159" s="8"/>
      <c r="Q159" s="8"/>
      <c r="R159" s="8"/>
      <c r="S159" s="8" t="str">
        <f t="shared" si="5"/>
        <v/>
      </c>
      <c r="T159" s="8"/>
      <c r="U159" s="8"/>
      <c r="V159" s="8"/>
    </row>
    <row r="160" spans="1:22">
      <c r="A160" s="8" t="str">
        <f>IF($D160="","","LP"&amp;TEXT(ROWS($A$2:A160),"000"))</f>
        <v/>
      </c>
      <c r="B160" s="8" t="str">
        <f>IF($D160="","",IFERROR(INDEX('02_能力差距自评'!$Q:$Q,MATCH($D160,'02_能力差距自评'!$F:$F,0)),""))</f>
        <v/>
      </c>
      <c r="C160" s="8" t="str">
        <f>IF($D160="","",IFERROR(INDEX('02_能力差距自评'!$R:$R,MATCH($D160,'02_能力差距自评'!$F:$F,0)),""))</f>
        <v/>
      </c>
      <c r="D160" s="8" t="str">
        <f>IFERROR(INDEX('02_能力差距自评'!$F$2:$F$311,MATCH(ROWS($D$2:D160),'02_能力差距自评'!$W$2:$W$311,0)),"")</f>
        <v/>
      </c>
      <c r="E160" s="8" t="str">
        <f>IF($D160="","",INDEX('02_能力差距自评'!$G:$G,MATCH($D160,'02_能力差距自评'!$F:$F,0)))</f>
        <v/>
      </c>
      <c r="F160" s="8" t="str">
        <f>IF($D160="","",INDEX('02_能力差距自评'!$C:$C,MATCH($D160,'02_能力差距自评'!$F:$F,0)))</f>
        <v/>
      </c>
      <c r="G160" s="8" t="str">
        <f>IF($D160="","",INDEX('02_能力差距自评'!$E:$E,MATCH($D160,'02_能力差距自评'!$F:$F,0)))</f>
        <v/>
      </c>
      <c r="H160" s="8" t="str">
        <f>IF($D160="","",INDEX('02_能力差距自评'!$L:$L,MATCH($D160,'02_能力差距自评'!$F:$F,0)))</f>
        <v/>
      </c>
      <c r="I160" s="8" t="str">
        <f>IF($D160="","",INDEX('02_能力差距自评'!$M:$M,MATCH($D160,'02_能力差距自评'!$F:$F,0)))</f>
        <v/>
      </c>
      <c r="J160" s="8" t="str">
        <f>IF($D160="","",INDEX('02_能力差距自评'!$N:$N,MATCH($D160,'02_能力差距自评'!$F:$F,0)))</f>
        <v/>
      </c>
      <c r="K160" s="8" t="str">
        <f>IF($D160="","",INDEX('02_能力差距自评'!$O:$O,MATCH($D160,'02_能力差距自评'!$F:$F,0)))</f>
        <v/>
      </c>
      <c r="L160" s="8" t="str">
        <f>IF($D160="","",INDEX('02_能力差距自评'!$I:$I,MATCH($D160,'02_能力差距自评'!$F:$F,0)))</f>
        <v/>
      </c>
      <c r="M160" s="8" t="str">
        <f t="shared" si="4"/>
        <v/>
      </c>
      <c r="N160" s="8" t="str">
        <f>IF($D160="","",INDEX('02_能力差距自评'!$J:$J,MATCH($D160,'02_能力差距自评'!$F:$F,0)))</f>
        <v/>
      </c>
      <c r="O160" s="8" t="str">
        <f>IF($D160="","",INDEX('02_能力差距自评'!$K:$K,MATCH($D160,'02_能力差距自评'!$F:$F,0)))</f>
        <v/>
      </c>
      <c r="P160" s="8"/>
      <c r="Q160" s="8"/>
      <c r="R160" s="8"/>
      <c r="S160" s="8" t="str">
        <f t="shared" si="5"/>
        <v/>
      </c>
      <c r="T160" s="8"/>
      <c r="U160" s="8"/>
      <c r="V160" s="8"/>
    </row>
    <row r="161" spans="1:22">
      <c r="A161" s="8" t="str">
        <f>IF($D161="","","LP"&amp;TEXT(ROWS($A$2:A161),"000"))</f>
        <v/>
      </c>
      <c r="B161" s="8" t="str">
        <f>IF($D161="","",IFERROR(INDEX('02_能力差距自评'!$Q:$Q,MATCH($D161,'02_能力差距自评'!$F:$F,0)),""))</f>
        <v/>
      </c>
      <c r="C161" s="8" t="str">
        <f>IF($D161="","",IFERROR(INDEX('02_能力差距自评'!$R:$R,MATCH($D161,'02_能力差距自评'!$F:$F,0)),""))</f>
        <v/>
      </c>
      <c r="D161" s="8" t="str">
        <f>IFERROR(INDEX('02_能力差距自评'!$F$2:$F$311,MATCH(ROWS($D$2:D161),'02_能力差距自评'!$W$2:$W$311,0)),"")</f>
        <v/>
      </c>
      <c r="E161" s="8" t="str">
        <f>IF($D161="","",INDEX('02_能力差距自评'!$G:$G,MATCH($D161,'02_能力差距自评'!$F:$F,0)))</f>
        <v/>
      </c>
      <c r="F161" s="8" t="str">
        <f>IF($D161="","",INDEX('02_能力差距自评'!$C:$C,MATCH($D161,'02_能力差距自评'!$F:$F,0)))</f>
        <v/>
      </c>
      <c r="G161" s="8" t="str">
        <f>IF($D161="","",INDEX('02_能力差距自评'!$E:$E,MATCH($D161,'02_能力差距自评'!$F:$F,0)))</f>
        <v/>
      </c>
      <c r="H161" s="8" t="str">
        <f>IF($D161="","",INDEX('02_能力差距自评'!$L:$L,MATCH($D161,'02_能力差距自评'!$F:$F,0)))</f>
        <v/>
      </c>
      <c r="I161" s="8" t="str">
        <f>IF($D161="","",INDEX('02_能力差距自评'!$M:$M,MATCH($D161,'02_能力差距自评'!$F:$F,0)))</f>
        <v/>
      </c>
      <c r="J161" s="8" t="str">
        <f>IF($D161="","",INDEX('02_能力差距自评'!$N:$N,MATCH($D161,'02_能力差距自评'!$F:$F,0)))</f>
        <v/>
      </c>
      <c r="K161" s="8" t="str">
        <f>IF($D161="","",INDEX('02_能力差距自评'!$O:$O,MATCH($D161,'02_能力差距自评'!$F:$F,0)))</f>
        <v/>
      </c>
      <c r="L161" s="8" t="str">
        <f>IF($D161="","",INDEX('02_能力差距自评'!$I:$I,MATCH($D161,'02_能力差距自评'!$F:$F,0)))</f>
        <v/>
      </c>
      <c r="M161" s="8" t="str">
        <f t="shared" si="4"/>
        <v/>
      </c>
      <c r="N161" s="8" t="str">
        <f>IF($D161="","",INDEX('02_能力差距自评'!$J:$J,MATCH($D161,'02_能力差距自评'!$F:$F,0)))</f>
        <v/>
      </c>
      <c r="O161" s="8" t="str">
        <f>IF($D161="","",INDEX('02_能力差距自评'!$K:$K,MATCH($D161,'02_能力差距自评'!$F:$F,0)))</f>
        <v/>
      </c>
      <c r="P161" s="8"/>
      <c r="Q161" s="8"/>
      <c r="R161" s="8"/>
      <c r="S161" s="8" t="str">
        <f t="shared" si="5"/>
        <v/>
      </c>
      <c r="T161" s="8"/>
      <c r="U161" s="8"/>
      <c r="V161" s="8"/>
    </row>
    <row r="162" spans="1:22">
      <c r="A162" s="8" t="str">
        <f>IF($D162="","","LP"&amp;TEXT(ROWS($A$2:A162),"000"))</f>
        <v/>
      </c>
      <c r="B162" s="8" t="str">
        <f>IF($D162="","",IFERROR(INDEX('02_能力差距自评'!$Q:$Q,MATCH($D162,'02_能力差距自评'!$F:$F,0)),""))</f>
        <v/>
      </c>
      <c r="C162" s="8" t="str">
        <f>IF($D162="","",IFERROR(INDEX('02_能力差距自评'!$R:$R,MATCH($D162,'02_能力差距自评'!$F:$F,0)),""))</f>
        <v/>
      </c>
      <c r="D162" s="8" t="str">
        <f>IFERROR(INDEX('02_能力差距自评'!$F$2:$F$311,MATCH(ROWS($D$2:D162),'02_能力差距自评'!$W$2:$W$311,0)),"")</f>
        <v/>
      </c>
      <c r="E162" s="8" t="str">
        <f>IF($D162="","",INDEX('02_能力差距自评'!$G:$G,MATCH($D162,'02_能力差距自评'!$F:$F,0)))</f>
        <v/>
      </c>
      <c r="F162" s="8" t="str">
        <f>IF($D162="","",INDEX('02_能力差距自评'!$C:$C,MATCH($D162,'02_能力差距自评'!$F:$F,0)))</f>
        <v/>
      </c>
      <c r="G162" s="8" t="str">
        <f>IF($D162="","",INDEX('02_能力差距自评'!$E:$E,MATCH($D162,'02_能力差距自评'!$F:$F,0)))</f>
        <v/>
      </c>
      <c r="H162" s="8" t="str">
        <f>IF($D162="","",INDEX('02_能力差距自评'!$L:$L,MATCH($D162,'02_能力差距自评'!$F:$F,0)))</f>
        <v/>
      </c>
      <c r="I162" s="8" t="str">
        <f>IF($D162="","",INDEX('02_能力差距自评'!$M:$M,MATCH($D162,'02_能力差距自评'!$F:$F,0)))</f>
        <v/>
      </c>
      <c r="J162" s="8" t="str">
        <f>IF($D162="","",INDEX('02_能力差距自评'!$N:$N,MATCH($D162,'02_能力差距自评'!$F:$F,0)))</f>
        <v/>
      </c>
      <c r="K162" s="8" t="str">
        <f>IF($D162="","",INDEX('02_能力差距自评'!$O:$O,MATCH($D162,'02_能力差距自评'!$F:$F,0)))</f>
        <v/>
      </c>
      <c r="L162" s="8" t="str">
        <f>IF($D162="","",INDEX('02_能力差距自评'!$I:$I,MATCH($D162,'02_能力差距自评'!$F:$F,0)))</f>
        <v/>
      </c>
      <c r="M162" s="8" t="str">
        <f t="shared" si="4"/>
        <v/>
      </c>
      <c r="N162" s="8" t="str">
        <f>IF($D162="","",INDEX('02_能力差距自评'!$J:$J,MATCH($D162,'02_能力差距自评'!$F:$F,0)))</f>
        <v/>
      </c>
      <c r="O162" s="8" t="str">
        <f>IF($D162="","",INDEX('02_能力差距自评'!$K:$K,MATCH($D162,'02_能力差距自评'!$F:$F,0)))</f>
        <v/>
      </c>
      <c r="P162" s="8"/>
      <c r="Q162" s="8"/>
      <c r="R162" s="8"/>
      <c r="S162" s="8" t="str">
        <f t="shared" si="5"/>
        <v/>
      </c>
      <c r="T162" s="8"/>
      <c r="U162" s="8"/>
      <c r="V162" s="8"/>
    </row>
    <row r="163" spans="1:22">
      <c r="A163" s="8" t="str">
        <f>IF($D163="","","LP"&amp;TEXT(ROWS($A$2:A163),"000"))</f>
        <v/>
      </c>
      <c r="B163" s="8" t="str">
        <f>IF($D163="","",IFERROR(INDEX('02_能力差距自评'!$Q:$Q,MATCH($D163,'02_能力差距自评'!$F:$F,0)),""))</f>
        <v/>
      </c>
      <c r="C163" s="8" t="str">
        <f>IF($D163="","",IFERROR(INDEX('02_能力差距自评'!$R:$R,MATCH($D163,'02_能力差距自评'!$F:$F,0)),""))</f>
        <v/>
      </c>
      <c r="D163" s="8" t="str">
        <f>IFERROR(INDEX('02_能力差距自评'!$F$2:$F$311,MATCH(ROWS($D$2:D163),'02_能力差距自评'!$W$2:$W$311,0)),"")</f>
        <v/>
      </c>
      <c r="E163" s="8" t="str">
        <f>IF($D163="","",INDEX('02_能力差距自评'!$G:$G,MATCH($D163,'02_能力差距自评'!$F:$F,0)))</f>
        <v/>
      </c>
      <c r="F163" s="8" t="str">
        <f>IF($D163="","",INDEX('02_能力差距自评'!$C:$C,MATCH($D163,'02_能力差距自评'!$F:$F,0)))</f>
        <v/>
      </c>
      <c r="G163" s="8" t="str">
        <f>IF($D163="","",INDEX('02_能力差距自评'!$E:$E,MATCH($D163,'02_能力差距自评'!$F:$F,0)))</f>
        <v/>
      </c>
      <c r="H163" s="8" t="str">
        <f>IF($D163="","",INDEX('02_能力差距自评'!$L:$L,MATCH($D163,'02_能力差距自评'!$F:$F,0)))</f>
        <v/>
      </c>
      <c r="I163" s="8" t="str">
        <f>IF($D163="","",INDEX('02_能力差距自评'!$M:$M,MATCH($D163,'02_能力差距自评'!$F:$F,0)))</f>
        <v/>
      </c>
      <c r="J163" s="8" t="str">
        <f>IF($D163="","",INDEX('02_能力差距自评'!$N:$N,MATCH($D163,'02_能力差距自评'!$F:$F,0)))</f>
        <v/>
      </c>
      <c r="K163" s="8" t="str">
        <f>IF($D163="","",INDEX('02_能力差距自评'!$O:$O,MATCH($D163,'02_能力差距自评'!$F:$F,0)))</f>
        <v/>
      </c>
      <c r="L163" s="8" t="str">
        <f>IF($D163="","",INDEX('02_能力差距自评'!$I:$I,MATCH($D163,'02_能力差距自评'!$F:$F,0)))</f>
        <v/>
      </c>
      <c r="M163" s="8" t="str">
        <f t="shared" si="4"/>
        <v/>
      </c>
      <c r="N163" s="8" t="str">
        <f>IF($D163="","",INDEX('02_能力差距自评'!$J:$J,MATCH($D163,'02_能力差距自评'!$F:$F,0)))</f>
        <v/>
      </c>
      <c r="O163" s="8" t="str">
        <f>IF($D163="","",INDEX('02_能力差距自评'!$K:$K,MATCH($D163,'02_能力差距自评'!$F:$F,0)))</f>
        <v/>
      </c>
      <c r="P163" s="8"/>
      <c r="Q163" s="8"/>
      <c r="R163" s="8"/>
      <c r="S163" s="8" t="str">
        <f t="shared" si="5"/>
        <v/>
      </c>
      <c r="T163" s="8"/>
      <c r="U163" s="8"/>
      <c r="V163" s="8"/>
    </row>
    <row r="164" spans="1:22">
      <c r="A164" s="8" t="str">
        <f>IF($D164="","","LP"&amp;TEXT(ROWS($A$2:A164),"000"))</f>
        <v/>
      </c>
      <c r="B164" s="8" t="str">
        <f>IF($D164="","",IFERROR(INDEX('02_能力差距自评'!$Q:$Q,MATCH($D164,'02_能力差距自评'!$F:$F,0)),""))</f>
        <v/>
      </c>
      <c r="C164" s="8" t="str">
        <f>IF($D164="","",IFERROR(INDEX('02_能力差距自评'!$R:$R,MATCH($D164,'02_能力差距自评'!$F:$F,0)),""))</f>
        <v/>
      </c>
      <c r="D164" s="8" t="str">
        <f>IFERROR(INDEX('02_能力差距自评'!$F$2:$F$311,MATCH(ROWS($D$2:D164),'02_能力差距自评'!$W$2:$W$311,0)),"")</f>
        <v/>
      </c>
      <c r="E164" s="8" t="str">
        <f>IF($D164="","",INDEX('02_能力差距自评'!$G:$G,MATCH($D164,'02_能力差距自评'!$F:$F,0)))</f>
        <v/>
      </c>
      <c r="F164" s="8" t="str">
        <f>IF($D164="","",INDEX('02_能力差距自评'!$C:$C,MATCH($D164,'02_能力差距自评'!$F:$F,0)))</f>
        <v/>
      </c>
      <c r="G164" s="8" t="str">
        <f>IF($D164="","",INDEX('02_能力差距自评'!$E:$E,MATCH($D164,'02_能力差距自评'!$F:$F,0)))</f>
        <v/>
      </c>
      <c r="H164" s="8" t="str">
        <f>IF($D164="","",INDEX('02_能力差距自评'!$L:$L,MATCH($D164,'02_能力差距自评'!$F:$F,0)))</f>
        <v/>
      </c>
      <c r="I164" s="8" t="str">
        <f>IF($D164="","",INDEX('02_能力差距自评'!$M:$M,MATCH($D164,'02_能力差距自评'!$F:$F,0)))</f>
        <v/>
      </c>
      <c r="J164" s="8" t="str">
        <f>IF($D164="","",INDEX('02_能力差距自评'!$N:$N,MATCH($D164,'02_能力差距自评'!$F:$F,0)))</f>
        <v/>
      </c>
      <c r="K164" s="8" t="str">
        <f>IF($D164="","",INDEX('02_能力差距自评'!$O:$O,MATCH($D164,'02_能力差距自评'!$F:$F,0)))</f>
        <v/>
      </c>
      <c r="L164" s="8" t="str">
        <f>IF($D164="","",INDEX('02_能力差距自评'!$I:$I,MATCH($D164,'02_能力差距自评'!$F:$F,0)))</f>
        <v/>
      </c>
      <c r="M164" s="8" t="str">
        <f t="shared" si="4"/>
        <v/>
      </c>
      <c r="N164" s="8" t="str">
        <f>IF($D164="","",INDEX('02_能力差距自评'!$J:$J,MATCH($D164,'02_能力差距自评'!$F:$F,0)))</f>
        <v/>
      </c>
      <c r="O164" s="8" t="str">
        <f>IF($D164="","",INDEX('02_能力差距自评'!$K:$K,MATCH($D164,'02_能力差距自评'!$F:$F,0)))</f>
        <v/>
      </c>
      <c r="P164" s="8"/>
      <c r="Q164" s="8"/>
      <c r="R164" s="8"/>
      <c r="S164" s="8" t="str">
        <f t="shared" si="5"/>
        <v/>
      </c>
      <c r="T164" s="8"/>
      <c r="U164" s="8"/>
      <c r="V164" s="8"/>
    </row>
    <row r="165" spans="1:22">
      <c r="A165" s="8" t="str">
        <f>IF($D165="","","LP"&amp;TEXT(ROWS($A$2:A165),"000"))</f>
        <v/>
      </c>
      <c r="B165" s="8" t="str">
        <f>IF($D165="","",IFERROR(INDEX('02_能力差距自评'!$Q:$Q,MATCH($D165,'02_能力差距自评'!$F:$F,0)),""))</f>
        <v/>
      </c>
      <c r="C165" s="8" t="str">
        <f>IF($D165="","",IFERROR(INDEX('02_能力差距自评'!$R:$R,MATCH($D165,'02_能力差距自评'!$F:$F,0)),""))</f>
        <v/>
      </c>
      <c r="D165" s="8" t="str">
        <f>IFERROR(INDEX('02_能力差距自评'!$F$2:$F$311,MATCH(ROWS($D$2:D165),'02_能力差距自评'!$W$2:$W$311,0)),"")</f>
        <v/>
      </c>
      <c r="E165" s="8" t="str">
        <f>IF($D165="","",INDEX('02_能力差距自评'!$G:$G,MATCH($D165,'02_能力差距自评'!$F:$F,0)))</f>
        <v/>
      </c>
      <c r="F165" s="8" t="str">
        <f>IF($D165="","",INDEX('02_能力差距自评'!$C:$C,MATCH($D165,'02_能力差距自评'!$F:$F,0)))</f>
        <v/>
      </c>
      <c r="G165" s="8" t="str">
        <f>IF($D165="","",INDEX('02_能力差距自评'!$E:$E,MATCH($D165,'02_能力差距自评'!$F:$F,0)))</f>
        <v/>
      </c>
      <c r="H165" s="8" t="str">
        <f>IF($D165="","",INDEX('02_能力差距自评'!$L:$L,MATCH($D165,'02_能力差距自评'!$F:$F,0)))</f>
        <v/>
      </c>
      <c r="I165" s="8" t="str">
        <f>IF($D165="","",INDEX('02_能力差距自评'!$M:$M,MATCH($D165,'02_能力差距自评'!$F:$F,0)))</f>
        <v/>
      </c>
      <c r="J165" s="8" t="str">
        <f>IF($D165="","",INDEX('02_能力差距自评'!$N:$N,MATCH($D165,'02_能力差距自评'!$F:$F,0)))</f>
        <v/>
      </c>
      <c r="K165" s="8" t="str">
        <f>IF($D165="","",INDEX('02_能力差距自评'!$O:$O,MATCH($D165,'02_能力差距自评'!$F:$F,0)))</f>
        <v/>
      </c>
      <c r="L165" s="8" t="str">
        <f>IF($D165="","",INDEX('02_能力差距自评'!$I:$I,MATCH($D165,'02_能力差距自评'!$F:$F,0)))</f>
        <v/>
      </c>
      <c r="M165" s="8" t="str">
        <f t="shared" si="4"/>
        <v/>
      </c>
      <c r="N165" s="8" t="str">
        <f>IF($D165="","",INDEX('02_能力差距自评'!$J:$J,MATCH($D165,'02_能力差距自评'!$F:$F,0)))</f>
        <v/>
      </c>
      <c r="O165" s="8" t="str">
        <f>IF($D165="","",INDEX('02_能力差距自评'!$K:$K,MATCH($D165,'02_能力差距自评'!$F:$F,0)))</f>
        <v/>
      </c>
      <c r="P165" s="8"/>
      <c r="Q165" s="8"/>
      <c r="R165" s="8"/>
      <c r="S165" s="8" t="str">
        <f t="shared" si="5"/>
        <v/>
      </c>
      <c r="T165" s="8"/>
      <c r="U165" s="8"/>
      <c r="V165" s="8"/>
    </row>
    <row r="166" spans="1:22">
      <c r="A166" s="8" t="str">
        <f>IF($D166="","","LP"&amp;TEXT(ROWS($A$2:A166),"000"))</f>
        <v/>
      </c>
      <c r="B166" s="8" t="str">
        <f>IF($D166="","",IFERROR(INDEX('02_能力差距自评'!$Q:$Q,MATCH($D166,'02_能力差距自评'!$F:$F,0)),""))</f>
        <v/>
      </c>
      <c r="C166" s="8" t="str">
        <f>IF($D166="","",IFERROR(INDEX('02_能力差距自评'!$R:$R,MATCH($D166,'02_能力差距自评'!$F:$F,0)),""))</f>
        <v/>
      </c>
      <c r="D166" s="8" t="str">
        <f>IFERROR(INDEX('02_能力差距自评'!$F$2:$F$311,MATCH(ROWS($D$2:D166),'02_能力差距自评'!$W$2:$W$311,0)),"")</f>
        <v/>
      </c>
      <c r="E166" s="8" t="str">
        <f>IF($D166="","",INDEX('02_能力差距自评'!$G:$G,MATCH($D166,'02_能力差距自评'!$F:$F,0)))</f>
        <v/>
      </c>
      <c r="F166" s="8" t="str">
        <f>IF($D166="","",INDEX('02_能力差距自评'!$C:$C,MATCH($D166,'02_能力差距自评'!$F:$F,0)))</f>
        <v/>
      </c>
      <c r="G166" s="8" t="str">
        <f>IF($D166="","",INDEX('02_能力差距自评'!$E:$E,MATCH($D166,'02_能力差距自评'!$F:$F,0)))</f>
        <v/>
      </c>
      <c r="H166" s="8" t="str">
        <f>IF($D166="","",INDEX('02_能力差距自评'!$L:$L,MATCH($D166,'02_能力差距自评'!$F:$F,0)))</f>
        <v/>
      </c>
      <c r="I166" s="8" t="str">
        <f>IF($D166="","",INDEX('02_能力差距自评'!$M:$M,MATCH($D166,'02_能力差距自评'!$F:$F,0)))</f>
        <v/>
      </c>
      <c r="J166" s="8" t="str">
        <f>IF($D166="","",INDEX('02_能力差距自评'!$N:$N,MATCH($D166,'02_能力差距自评'!$F:$F,0)))</f>
        <v/>
      </c>
      <c r="K166" s="8" t="str">
        <f>IF($D166="","",INDEX('02_能力差距自评'!$O:$O,MATCH($D166,'02_能力差距自评'!$F:$F,0)))</f>
        <v/>
      </c>
      <c r="L166" s="8" t="str">
        <f>IF($D166="","",INDEX('02_能力差距自评'!$I:$I,MATCH($D166,'02_能力差距自评'!$F:$F,0)))</f>
        <v/>
      </c>
      <c r="M166" s="8" t="str">
        <f t="shared" si="4"/>
        <v/>
      </c>
      <c r="N166" s="8" t="str">
        <f>IF($D166="","",INDEX('02_能力差距自评'!$J:$J,MATCH($D166,'02_能力差距自评'!$F:$F,0)))</f>
        <v/>
      </c>
      <c r="O166" s="8" t="str">
        <f>IF($D166="","",INDEX('02_能力差距自评'!$K:$K,MATCH($D166,'02_能力差距自评'!$F:$F,0)))</f>
        <v/>
      </c>
      <c r="P166" s="8"/>
      <c r="Q166" s="8"/>
      <c r="R166" s="8"/>
      <c r="S166" s="8" t="str">
        <f t="shared" si="5"/>
        <v/>
      </c>
      <c r="T166" s="8"/>
      <c r="U166" s="8"/>
      <c r="V166" s="8"/>
    </row>
    <row r="167" spans="1:22">
      <c r="A167" s="8" t="str">
        <f>IF($D167="","","LP"&amp;TEXT(ROWS($A$2:A167),"000"))</f>
        <v/>
      </c>
      <c r="B167" s="8" t="str">
        <f>IF($D167="","",IFERROR(INDEX('02_能力差距自评'!$Q:$Q,MATCH($D167,'02_能力差距自评'!$F:$F,0)),""))</f>
        <v/>
      </c>
      <c r="C167" s="8" t="str">
        <f>IF($D167="","",IFERROR(INDEX('02_能力差距自评'!$R:$R,MATCH($D167,'02_能力差距自评'!$F:$F,0)),""))</f>
        <v/>
      </c>
      <c r="D167" s="8" t="str">
        <f>IFERROR(INDEX('02_能力差距自评'!$F$2:$F$311,MATCH(ROWS($D$2:D167),'02_能力差距自评'!$W$2:$W$311,0)),"")</f>
        <v/>
      </c>
      <c r="E167" s="8" t="str">
        <f>IF($D167="","",INDEX('02_能力差距自评'!$G:$G,MATCH($D167,'02_能力差距自评'!$F:$F,0)))</f>
        <v/>
      </c>
      <c r="F167" s="8" t="str">
        <f>IF($D167="","",INDEX('02_能力差距自评'!$C:$C,MATCH($D167,'02_能力差距自评'!$F:$F,0)))</f>
        <v/>
      </c>
      <c r="G167" s="8" t="str">
        <f>IF($D167="","",INDEX('02_能力差距自评'!$E:$E,MATCH($D167,'02_能力差距自评'!$F:$F,0)))</f>
        <v/>
      </c>
      <c r="H167" s="8" t="str">
        <f>IF($D167="","",INDEX('02_能力差距自评'!$L:$L,MATCH($D167,'02_能力差距自评'!$F:$F,0)))</f>
        <v/>
      </c>
      <c r="I167" s="8" t="str">
        <f>IF($D167="","",INDEX('02_能力差距自评'!$M:$M,MATCH($D167,'02_能力差距自评'!$F:$F,0)))</f>
        <v/>
      </c>
      <c r="J167" s="8" t="str">
        <f>IF($D167="","",INDEX('02_能力差距自评'!$N:$N,MATCH($D167,'02_能力差距自评'!$F:$F,0)))</f>
        <v/>
      </c>
      <c r="K167" s="8" t="str">
        <f>IF($D167="","",INDEX('02_能力差距自评'!$O:$O,MATCH($D167,'02_能力差距自评'!$F:$F,0)))</f>
        <v/>
      </c>
      <c r="L167" s="8" t="str">
        <f>IF($D167="","",INDEX('02_能力差距自评'!$I:$I,MATCH($D167,'02_能力差距自评'!$F:$F,0)))</f>
        <v/>
      </c>
      <c r="M167" s="8" t="str">
        <f t="shared" si="4"/>
        <v/>
      </c>
      <c r="N167" s="8" t="str">
        <f>IF($D167="","",INDEX('02_能力差距自评'!$J:$J,MATCH($D167,'02_能力差距自评'!$F:$F,0)))</f>
        <v/>
      </c>
      <c r="O167" s="8" t="str">
        <f>IF($D167="","",INDEX('02_能力差距自评'!$K:$K,MATCH($D167,'02_能力差距自评'!$F:$F,0)))</f>
        <v/>
      </c>
      <c r="P167" s="8"/>
      <c r="Q167" s="8"/>
      <c r="R167" s="8"/>
      <c r="S167" s="8" t="str">
        <f t="shared" si="5"/>
        <v/>
      </c>
      <c r="T167" s="8"/>
      <c r="U167" s="8"/>
      <c r="V167" s="8"/>
    </row>
    <row r="168" spans="1:22">
      <c r="A168" s="8" t="str">
        <f>IF($D168="","","LP"&amp;TEXT(ROWS($A$2:A168),"000"))</f>
        <v/>
      </c>
      <c r="B168" s="8" t="str">
        <f>IF($D168="","",IFERROR(INDEX('02_能力差距自评'!$Q:$Q,MATCH($D168,'02_能力差距自评'!$F:$F,0)),""))</f>
        <v/>
      </c>
      <c r="C168" s="8" t="str">
        <f>IF($D168="","",IFERROR(INDEX('02_能力差距自评'!$R:$R,MATCH($D168,'02_能力差距自评'!$F:$F,0)),""))</f>
        <v/>
      </c>
      <c r="D168" s="8" t="str">
        <f>IFERROR(INDEX('02_能力差距自评'!$F$2:$F$311,MATCH(ROWS($D$2:D168),'02_能力差距自评'!$W$2:$W$311,0)),"")</f>
        <v/>
      </c>
      <c r="E168" s="8" t="str">
        <f>IF($D168="","",INDEX('02_能力差距自评'!$G:$G,MATCH($D168,'02_能力差距自评'!$F:$F,0)))</f>
        <v/>
      </c>
      <c r="F168" s="8" t="str">
        <f>IF($D168="","",INDEX('02_能力差距自评'!$C:$C,MATCH($D168,'02_能力差距自评'!$F:$F,0)))</f>
        <v/>
      </c>
      <c r="G168" s="8" t="str">
        <f>IF($D168="","",INDEX('02_能力差距自评'!$E:$E,MATCH($D168,'02_能力差距自评'!$F:$F,0)))</f>
        <v/>
      </c>
      <c r="H168" s="8" t="str">
        <f>IF($D168="","",INDEX('02_能力差距自评'!$L:$L,MATCH($D168,'02_能力差距自评'!$F:$F,0)))</f>
        <v/>
      </c>
      <c r="I168" s="8" t="str">
        <f>IF($D168="","",INDEX('02_能力差距自评'!$M:$M,MATCH($D168,'02_能力差距自评'!$F:$F,0)))</f>
        <v/>
      </c>
      <c r="J168" s="8" t="str">
        <f>IF($D168="","",INDEX('02_能力差距自评'!$N:$N,MATCH($D168,'02_能力差距自评'!$F:$F,0)))</f>
        <v/>
      </c>
      <c r="K168" s="8" t="str">
        <f>IF($D168="","",INDEX('02_能力差距自评'!$O:$O,MATCH($D168,'02_能力差距自评'!$F:$F,0)))</f>
        <v/>
      </c>
      <c r="L168" s="8" t="str">
        <f>IF($D168="","",INDEX('02_能力差距自评'!$I:$I,MATCH($D168,'02_能力差距自评'!$F:$F,0)))</f>
        <v/>
      </c>
      <c r="M168" s="8" t="str">
        <f t="shared" si="4"/>
        <v/>
      </c>
      <c r="N168" s="8" t="str">
        <f>IF($D168="","",INDEX('02_能力差距自评'!$J:$J,MATCH($D168,'02_能力差距自评'!$F:$F,0)))</f>
        <v/>
      </c>
      <c r="O168" s="8" t="str">
        <f>IF($D168="","",INDEX('02_能力差距自评'!$K:$K,MATCH($D168,'02_能力差距自评'!$F:$F,0)))</f>
        <v/>
      </c>
      <c r="P168" s="8"/>
      <c r="Q168" s="8"/>
      <c r="R168" s="8"/>
      <c r="S168" s="8" t="str">
        <f t="shared" si="5"/>
        <v/>
      </c>
      <c r="T168" s="8"/>
      <c r="U168" s="8"/>
      <c r="V168" s="8"/>
    </row>
    <row r="169" spans="1:22">
      <c r="A169" s="8" t="str">
        <f>IF($D169="","","LP"&amp;TEXT(ROWS($A$2:A169),"000"))</f>
        <v/>
      </c>
      <c r="B169" s="8" t="str">
        <f>IF($D169="","",IFERROR(INDEX('02_能力差距自评'!$Q:$Q,MATCH($D169,'02_能力差距自评'!$F:$F,0)),""))</f>
        <v/>
      </c>
      <c r="C169" s="8" t="str">
        <f>IF($D169="","",IFERROR(INDEX('02_能力差距自评'!$R:$R,MATCH($D169,'02_能力差距自评'!$F:$F,0)),""))</f>
        <v/>
      </c>
      <c r="D169" s="8" t="str">
        <f>IFERROR(INDEX('02_能力差距自评'!$F$2:$F$311,MATCH(ROWS($D$2:D169),'02_能力差距自评'!$W$2:$W$311,0)),"")</f>
        <v/>
      </c>
      <c r="E169" s="8" t="str">
        <f>IF($D169="","",INDEX('02_能力差距自评'!$G:$G,MATCH($D169,'02_能力差距自评'!$F:$F,0)))</f>
        <v/>
      </c>
      <c r="F169" s="8" t="str">
        <f>IF($D169="","",INDEX('02_能力差距自评'!$C:$C,MATCH($D169,'02_能力差距自评'!$F:$F,0)))</f>
        <v/>
      </c>
      <c r="G169" s="8" t="str">
        <f>IF($D169="","",INDEX('02_能力差距自评'!$E:$E,MATCH($D169,'02_能力差距自评'!$F:$F,0)))</f>
        <v/>
      </c>
      <c r="H169" s="8" t="str">
        <f>IF($D169="","",INDEX('02_能力差距自评'!$L:$L,MATCH($D169,'02_能力差距自评'!$F:$F,0)))</f>
        <v/>
      </c>
      <c r="I169" s="8" t="str">
        <f>IF($D169="","",INDEX('02_能力差距自评'!$M:$M,MATCH($D169,'02_能力差距自评'!$F:$F,0)))</f>
        <v/>
      </c>
      <c r="J169" s="8" t="str">
        <f>IF($D169="","",INDEX('02_能力差距自评'!$N:$N,MATCH($D169,'02_能力差距自评'!$F:$F,0)))</f>
        <v/>
      </c>
      <c r="K169" s="8" t="str">
        <f>IF($D169="","",INDEX('02_能力差距自评'!$O:$O,MATCH($D169,'02_能力差距自评'!$F:$F,0)))</f>
        <v/>
      </c>
      <c r="L169" s="8" t="str">
        <f>IF($D169="","",INDEX('02_能力差距自评'!$I:$I,MATCH($D169,'02_能力差距自评'!$F:$F,0)))</f>
        <v/>
      </c>
      <c r="M169" s="8" t="str">
        <f t="shared" si="4"/>
        <v/>
      </c>
      <c r="N169" s="8" t="str">
        <f>IF($D169="","",INDEX('02_能力差距自评'!$J:$J,MATCH($D169,'02_能力差距自评'!$F:$F,0)))</f>
        <v/>
      </c>
      <c r="O169" s="8" t="str">
        <f>IF($D169="","",INDEX('02_能力差距自评'!$K:$K,MATCH($D169,'02_能力差距自评'!$F:$F,0)))</f>
        <v/>
      </c>
      <c r="P169" s="8"/>
      <c r="Q169" s="8"/>
      <c r="R169" s="8"/>
      <c r="S169" s="8" t="str">
        <f t="shared" si="5"/>
        <v/>
      </c>
      <c r="T169" s="8"/>
      <c r="U169" s="8"/>
      <c r="V169" s="8"/>
    </row>
    <row r="170" spans="1:22">
      <c r="A170" s="8" t="str">
        <f>IF($D170="","","LP"&amp;TEXT(ROWS($A$2:A170),"000"))</f>
        <v/>
      </c>
      <c r="B170" s="8" t="str">
        <f>IF($D170="","",IFERROR(INDEX('02_能力差距自评'!$Q:$Q,MATCH($D170,'02_能力差距自评'!$F:$F,0)),""))</f>
        <v/>
      </c>
      <c r="C170" s="8" t="str">
        <f>IF($D170="","",IFERROR(INDEX('02_能力差距自评'!$R:$R,MATCH($D170,'02_能力差距自评'!$F:$F,0)),""))</f>
        <v/>
      </c>
      <c r="D170" s="8" t="str">
        <f>IFERROR(INDEX('02_能力差距自评'!$F$2:$F$311,MATCH(ROWS($D$2:D170),'02_能力差距自评'!$W$2:$W$311,0)),"")</f>
        <v/>
      </c>
      <c r="E170" s="8" t="str">
        <f>IF($D170="","",INDEX('02_能力差距自评'!$G:$G,MATCH($D170,'02_能力差距自评'!$F:$F,0)))</f>
        <v/>
      </c>
      <c r="F170" s="8" t="str">
        <f>IF($D170="","",INDEX('02_能力差距自评'!$C:$C,MATCH($D170,'02_能力差距自评'!$F:$F,0)))</f>
        <v/>
      </c>
      <c r="G170" s="8" t="str">
        <f>IF($D170="","",INDEX('02_能力差距自评'!$E:$E,MATCH($D170,'02_能力差距自评'!$F:$F,0)))</f>
        <v/>
      </c>
      <c r="H170" s="8" t="str">
        <f>IF($D170="","",INDEX('02_能力差距自评'!$L:$L,MATCH($D170,'02_能力差距自评'!$F:$F,0)))</f>
        <v/>
      </c>
      <c r="I170" s="8" t="str">
        <f>IF($D170="","",INDEX('02_能力差距自评'!$M:$M,MATCH($D170,'02_能力差距自评'!$F:$F,0)))</f>
        <v/>
      </c>
      <c r="J170" s="8" t="str">
        <f>IF($D170="","",INDEX('02_能力差距自评'!$N:$N,MATCH($D170,'02_能力差距自评'!$F:$F,0)))</f>
        <v/>
      </c>
      <c r="K170" s="8" t="str">
        <f>IF($D170="","",INDEX('02_能力差距自评'!$O:$O,MATCH($D170,'02_能力差距自评'!$F:$F,0)))</f>
        <v/>
      </c>
      <c r="L170" s="8" t="str">
        <f>IF($D170="","",INDEX('02_能力差距自评'!$I:$I,MATCH($D170,'02_能力差距自评'!$F:$F,0)))</f>
        <v/>
      </c>
      <c r="M170" s="8" t="str">
        <f t="shared" si="4"/>
        <v/>
      </c>
      <c r="N170" s="8" t="str">
        <f>IF($D170="","",INDEX('02_能力差距自评'!$J:$J,MATCH($D170,'02_能力差距自评'!$F:$F,0)))</f>
        <v/>
      </c>
      <c r="O170" s="8" t="str">
        <f>IF($D170="","",INDEX('02_能力差距自评'!$K:$K,MATCH($D170,'02_能力差距自评'!$F:$F,0)))</f>
        <v/>
      </c>
      <c r="P170" s="8"/>
      <c r="Q170" s="8"/>
      <c r="R170" s="8"/>
      <c r="S170" s="8" t="str">
        <f t="shared" si="5"/>
        <v/>
      </c>
      <c r="T170" s="8"/>
      <c r="U170" s="8"/>
      <c r="V170" s="8"/>
    </row>
    <row r="171" spans="1:22">
      <c r="A171" s="8" t="str">
        <f>IF($D171="","","LP"&amp;TEXT(ROWS($A$2:A171),"000"))</f>
        <v/>
      </c>
      <c r="B171" s="8" t="str">
        <f>IF($D171="","",IFERROR(INDEX('02_能力差距自评'!$Q:$Q,MATCH($D171,'02_能力差距自评'!$F:$F,0)),""))</f>
        <v/>
      </c>
      <c r="C171" s="8" t="str">
        <f>IF($D171="","",IFERROR(INDEX('02_能力差距自评'!$R:$R,MATCH($D171,'02_能力差距自评'!$F:$F,0)),""))</f>
        <v/>
      </c>
      <c r="D171" s="8" t="str">
        <f>IFERROR(INDEX('02_能力差距自评'!$F$2:$F$311,MATCH(ROWS($D$2:D171),'02_能力差距自评'!$W$2:$W$311,0)),"")</f>
        <v/>
      </c>
      <c r="E171" s="8" t="str">
        <f>IF($D171="","",INDEX('02_能力差距自评'!$G:$G,MATCH($D171,'02_能力差距自评'!$F:$F,0)))</f>
        <v/>
      </c>
      <c r="F171" s="8" t="str">
        <f>IF($D171="","",INDEX('02_能力差距自评'!$C:$C,MATCH($D171,'02_能力差距自评'!$F:$F,0)))</f>
        <v/>
      </c>
      <c r="G171" s="8" t="str">
        <f>IF($D171="","",INDEX('02_能力差距自评'!$E:$E,MATCH($D171,'02_能力差距自评'!$F:$F,0)))</f>
        <v/>
      </c>
      <c r="H171" s="8" t="str">
        <f>IF($D171="","",INDEX('02_能力差距自评'!$L:$L,MATCH($D171,'02_能力差距自评'!$F:$F,0)))</f>
        <v/>
      </c>
      <c r="I171" s="8" t="str">
        <f>IF($D171="","",INDEX('02_能力差距自评'!$M:$M,MATCH($D171,'02_能力差距自评'!$F:$F,0)))</f>
        <v/>
      </c>
      <c r="J171" s="8" t="str">
        <f>IF($D171="","",INDEX('02_能力差距自评'!$N:$N,MATCH($D171,'02_能力差距自评'!$F:$F,0)))</f>
        <v/>
      </c>
      <c r="K171" s="8" t="str">
        <f>IF($D171="","",INDEX('02_能力差距自评'!$O:$O,MATCH($D171,'02_能力差距自评'!$F:$F,0)))</f>
        <v/>
      </c>
      <c r="L171" s="8" t="str">
        <f>IF($D171="","",INDEX('02_能力差距自评'!$I:$I,MATCH($D171,'02_能力差距自评'!$F:$F,0)))</f>
        <v/>
      </c>
      <c r="M171" s="8" t="str">
        <f t="shared" si="4"/>
        <v/>
      </c>
      <c r="N171" s="8" t="str">
        <f>IF($D171="","",INDEX('02_能力差距自评'!$J:$J,MATCH($D171,'02_能力差距自评'!$F:$F,0)))</f>
        <v/>
      </c>
      <c r="O171" s="8" t="str">
        <f>IF($D171="","",INDEX('02_能力差距自评'!$K:$K,MATCH($D171,'02_能力差距自评'!$F:$F,0)))</f>
        <v/>
      </c>
      <c r="P171" s="8"/>
      <c r="Q171" s="8"/>
      <c r="R171" s="8"/>
      <c r="S171" s="8" t="str">
        <f t="shared" si="5"/>
        <v/>
      </c>
      <c r="T171" s="8"/>
      <c r="U171" s="8"/>
      <c r="V171" s="8"/>
    </row>
    <row r="172" spans="1:22">
      <c r="A172" s="8" t="str">
        <f>IF($D172="","","LP"&amp;TEXT(ROWS($A$2:A172),"000"))</f>
        <v/>
      </c>
      <c r="B172" s="8" t="str">
        <f>IF($D172="","",IFERROR(INDEX('02_能力差距自评'!$Q:$Q,MATCH($D172,'02_能力差距自评'!$F:$F,0)),""))</f>
        <v/>
      </c>
      <c r="C172" s="8" t="str">
        <f>IF($D172="","",IFERROR(INDEX('02_能力差距自评'!$R:$R,MATCH($D172,'02_能力差距自评'!$F:$F,0)),""))</f>
        <v/>
      </c>
      <c r="D172" s="8" t="str">
        <f>IFERROR(INDEX('02_能力差距自评'!$F$2:$F$311,MATCH(ROWS($D$2:D172),'02_能力差距自评'!$W$2:$W$311,0)),"")</f>
        <v/>
      </c>
      <c r="E172" s="8" t="str">
        <f>IF($D172="","",INDEX('02_能力差距自评'!$G:$G,MATCH($D172,'02_能力差距自评'!$F:$F,0)))</f>
        <v/>
      </c>
      <c r="F172" s="8" t="str">
        <f>IF($D172="","",INDEX('02_能力差距自评'!$C:$C,MATCH($D172,'02_能力差距自评'!$F:$F,0)))</f>
        <v/>
      </c>
      <c r="G172" s="8" t="str">
        <f>IF($D172="","",INDEX('02_能力差距自评'!$E:$E,MATCH($D172,'02_能力差距自评'!$F:$F,0)))</f>
        <v/>
      </c>
      <c r="H172" s="8" t="str">
        <f>IF($D172="","",INDEX('02_能力差距自评'!$L:$L,MATCH($D172,'02_能力差距自评'!$F:$F,0)))</f>
        <v/>
      </c>
      <c r="I172" s="8" t="str">
        <f>IF($D172="","",INDEX('02_能力差距自评'!$M:$M,MATCH($D172,'02_能力差距自评'!$F:$F,0)))</f>
        <v/>
      </c>
      <c r="J172" s="8" t="str">
        <f>IF($D172="","",INDEX('02_能力差距自评'!$N:$N,MATCH($D172,'02_能力差距自评'!$F:$F,0)))</f>
        <v/>
      </c>
      <c r="K172" s="8" t="str">
        <f>IF($D172="","",INDEX('02_能力差距自评'!$O:$O,MATCH($D172,'02_能力差距自评'!$F:$F,0)))</f>
        <v/>
      </c>
      <c r="L172" s="8" t="str">
        <f>IF($D172="","",INDEX('02_能力差距自评'!$I:$I,MATCH($D172,'02_能力差距自评'!$F:$F,0)))</f>
        <v/>
      </c>
      <c r="M172" s="8" t="str">
        <f t="shared" si="4"/>
        <v/>
      </c>
      <c r="N172" s="8" t="str">
        <f>IF($D172="","",INDEX('02_能力差距自评'!$J:$J,MATCH($D172,'02_能力差距自评'!$F:$F,0)))</f>
        <v/>
      </c>
      <c r="O172" s="8" t="str">
        <f>IF($D172="","",INDEX('02_能力差距自评'!$K:$K,MATCH($D172,'02_能力差距自评'!$F:$F,0)))</f>
        <v/>
      </c>
      <c r="P172" s="8"/>
      <c r="Q172" s="8"/>
      <c r="R172" s="8"/>
      <c r="S172" s="8" t="str">
        <f t="shared" si="5"/>
        <v/>
      </c>
      <c r="T172" s="8"/>
      <c r="U172" s="8"/>
      <c r="V172" s="8"/>
    </row>
    <row r="173" spans="1:22">
      <c r="A173" s="8" t="str">
        <f>IF($D173="","","LP"&amp;TEXT(ROWS($A$2:A173),"000"))</f>
        <v/>
      </c>
      <c r="B173" s="8" t="str">
        <f>IF($D173="","",IFERROR(INDEX('02_能力差距自评'!$Q:$Q,MATCH($D173,'02_能力差距自评'!$F:$F,0)),""))</f>
        <v/>
      </c>
      <c r="C173" s="8" t="str">
        <f>IF($D173="","",IFERROR(INDEX('02_能力差距自评'!$R:$R,MATCH($D173,'02_能力差距自评'!$F:$F,0)),""))</f>
        <v/>
      </c>
      <c r="D173" s="8" t="str">
        <f>IFERROR(INDEX('02_能力差距自评'!$F$2:$F$311,MATCH(ROWS($D$2:D173),'02_能力差距自评'!$W$2:$W$311,0)),"")</f>
        <v/>
      </c>
      <c r="E173" s="8" t="str">
        <f>IF($D173="","",INDEX('02_能力差距自评'!$G:$G,MATCH($D173,'02_能力差距自评'!$F:$F,0)))</f>
        <v/>
      </c>
      <c r="F173" s="8" t="str">
        <f>IF($D173="","",INDEX('02_能力差距自评'!$C:$C,MATCH($D173,'02_能力差距自评'!$F:$F,0)))</f>
        <v/>
      </c>
      <c r="G173" s="8" t="str">
        <f>IF($D173="","",INDEX('02_能力差距自评'!$E:$E,MATCH($D173,'02_能力差距自评'!$F:$F,0)))</f>
        <v/>
      </c>
      <c r="H173" s="8" t="str">
        <f>IF($D173="","",INDEX('02_能力差距自评'!$L:$L,MATCH($D173,'02_能力差距自评'!$F:$F,0)))</f>
        <v/>
      </c>
      <c r="I173" s="8" t="str">
        <f>IF($D173="","",INDEX('02_能力差距自评'!$M:$M,MATCH($D173,'02_能力差距自评'!$F:$F,0)))</f>
        <v/>
      </c>
      <c r="J173" s="8" t="str">
        <f>IF($D173="","",INDEX('02_能力差距自评'!$N:$N,MATCH($D173,'02_能力差距自评'!$F:$F,0)))</f>
        <v/>
      </c>
      <c r="K173" s="8" t="str">
        <f>IF($D173="","",INDEX('02_能力差距自评'!$O:$O,MATCH($D173,'02_能力差距自评'!$F:$F,0)))</f>
        <v/>
      </c>
      <c r="L173" s="8" t="str">
        <f>IF($D173="","",INDEX('02_能力差距自评'!$I:$I,MATCH($D173,'02_能力差距自评'!$F:$F,0)))</f>
        <v/>
      </c>
      <c r="M173" s="8" t="str">
        <f t="shared" si="4"/>
        <v/>
      </c>
      <c r="N173" s="8" t="str">
        <f>IF($D173="","",INDEX('02_能力差距自评'!$J:$J,MATCH($D173,'02_能力差距自评'!$F:$F,0)))</f>
        <v/>
      </c>
      <c r="O173" s="8" t="str">
        <f>IF($D173="","",INDEX('02_能力差距自评'!$K:$K,MATCH($D173,'02_能力差距自评'!$F:$F,0)))</f>
        <v/>
      </c>
      <c r="P173" s="8"/>
      <c r="Q173" s="8"/>
      <c r="R173" s="8"/>
      <c r="S173" s="8" t="str">
        <f t="shared" si="5"/>
        <v/>
      </c>
      <c r="T173" s="8"/>
      <c r="U173" s="8"/>
      <c r="V173" s="8"/>
    </row>
    <row r="174" spans="1:22">
      <c r="A174" s="8" t="str">
        <f>IF($D174="","","LP"&amp;TEXT(ROWS($A$2:A174),"000"))</f>
        <v/>
      </c>
      <c r="B174" s="8" t="str">
        <f>IF($D174="","",IFERROR(INDEX('02_能力差距自评'!$Q:$Q,MATCH($D174,'02_能力差距自评'!$F:$F,0)),""))</f>
        <v/>
      </c>
      <c r="C174" s="8" t="str">
        <f>IF($D174="","",IFERROR(INDEX('02_能力差距自评'!$R:$R,MATCH($D174,'02_能力差距自评'!$F:$F,0)),""))</f>
        <v/>
      </c>
      <c r="D174" s="8" t="str">
        <f>IFERROR(INDEX('02_能力差距自评'!$F$2:$F$311,MATCH(ROWS($D$2:D174),'02_能力差距自评'!$W$2:$W$311,0)),"")</f>
        <v/>
      </c>
      <c r="E174" s="8" t="str">
        <f>IF($D174="","",INDEX('02_能力差距自评'!$G:$G,MATCH($D174,'02_能力差距自评'!$F:$F,0)))</f>
        <v/>
      </c>
      <c r="F174" s="8" t="str">
        <f>IF($D174="","",INDEX('02_能力差距自评'!$C:$C,MATCH($D174,'02_能力差距自评'!$F:$F,0)))</f>
        <v/>
      </c>
      <c r="G174" s="8" t="str">
        <f>IF($D174="","",INDEX('02_能力差距自评'!$E:$E,MATCH($D174,'02_能力差距自评'!$F:$F,0)))</f>
        <v/>
      </c>
      <c r="H174" s="8" t="str">
        <f>IF($D174="","",INDEX('02_能力差距自评'!$L:$L,MATCH($D174,'02_能力差距自评'!$F:$F,0)))</f>
        <v/>
      </c>
      <c r="I174" s="8" t="str">
        <f>IF($D174="","",INDEX('02_能力差距自评'!$M:$M,MATCH($D174,'02_能力差距自评'!$F:$F,0)))</f>
        <v/>
      </c>
      <c r="J174" s="8" t="str">
        <f>IF($D174="","",INDEX('02_能力差距自评'!$N:$N,MATCH($D174,'02_能力差距自评'!$F:$F,0)))</f>
        <v/>
      </c>
      <c r="K174" s="8" t="str">
        <f>IF($D174="","",INDEX('02_能力差距自评'!$O:$O,MATCH($D174,'02_能力差距自评'!$F:$F,0)))</f>
        <v/>
      </c>
      <c r="L174" s="8" t="str">
        <f>IF($D174="","",INDEX('02_能力差距自评'!$I:$I,MATCH($D174,'02_能力差距自评'!$F:$F,0)))</f>
        <v/>
      </c>
      <c r="M174" s="8" t="str">
        <f t="shared" si="4"/>
        <v/>
      </c>
      <c r="N174" s="8" t="str">
        <f>IF($D174="","",INDEX('02_能力差距自评'!$J:$J,MATCH($D174,'02_能力差距自评'!$F:$F,0)))</f>
        <v/>
      </c>
      <c r="O174" s="8" t="str">
        <f>IF($D174="","",INDEX('02_能力差距自评'!$K:$K,MATCH($D174,'02_能力差距自评'!$F:$F,0)))</f>
        <v/>
      </c>
      <c r="P174" s="8"/>
      <c r="Q174" s="8"/>
      <c r="R174" s="8"/>
      <c r="S174" s="8" t="str">
        <f t="shared" si="5"/>
        <v/>
      </c>
      <c r="T174" s="8"/>
      <c r="U174" s="8"/>
      <c r="V174" s="8"/>
    </row>
    <row r="175" spans="1:22">
      <c r="A175" s="8" t="str">
        <f>IF($D175="","","LP"&amp;TEXT(ROWS($A$2:A175),"000"))</f>
        <v/>
      </c>
      <c r="B175" s="8" t="str">
        <f>IF($D175="","",IFERROR(INDEX('02_能力差距自评'!$Q:$Q,MATCH($D175,'02_能力差距自评'!$F:$F,0)),""))</f>
        <v/>
      </c>
      <c r="C175" s="8" t="str">
        <f>IF($D175="","",IFERROR(INDEX('02_能力差距自评'!$R:$R,MATCH($D175,'02_能力差距自评'!$F:$F,0)),""))</f>
        <v/>
      </c>
      <c r="D175" s="8" t="str">
        <f>IFERROR(INDEX('02_能力差距自评'!$F$2:$F$311,MATCH(ROWS($D$2:D175),'02_能力差距自评'!$W$2:$W$311,0)),"")</f>
        <v/>
      </c>
      <c r="E175" s="8" t="str">
        <f>IF($D175="","",INDEX('02_能力差距自评'!$G:$G,MATCH($D175,'02_能力差距自评'!$F:$F,0)))</f>
        <v/>
      </c>
      <c r="F175" s="8" t="str">
        <f>IF($D175="","",INDEX('02_能力差距自评'!$C:$C,MATCH($D175,'02_能力差距自评'!$F:$F,0)))</f>
        <v/>
      </c>
      <c r="G175" s="8" t="str">
        <f>IF($D175="","",INDEX('02_能力差距自评'!$E:$E,MATCH($D175,'02_能力差距自评'!$F:$F,0)))</f>
        <v/>
      </c>
      <c r="H175" s="8" t="str">
        <f>IF($D175="","",INDEX('02_能力差距自评'!$L:$L,MATCH($D175,'02_能力差距自评'!$F:$F,0)))</f>
        <v/>
      </c>
      <c r="I175" s="8" t="str">
        <f>IF($D175="","",INDEX('02_能力差距自评'!$M:$M,MATCH($D175,'02_能力差距自评'!$F:$F,0)))</f>
        <v/>
      </c>
      <c r="J175" s="8" t="str">
        <f>IF($D175="","",INDEX('02_能力差距自评'!$N:$N,MATCH($D175,'02_能力差距自评'!$F:$F,0)))</f>
        <v/>
      </c>
      <c r="K175" s="8" t="str">
        <f>IF($D175="","",INDEX('02_能力差距自评'!$O:$O,MATCH($D175,'02_能力差距自评'!$F:$F,0)))</f>
        <v/>
      </c>
      <c r="L175" s="8" t="str">
        <f>IF($D175="","",INDEX('02_能力差距自评'!$I:$I,MATCH($D175,'02_能力差距自评'!$F:$F,0)))</f>
        <v/>
      </c>
      <c r="M175" s="8" t="str">
        <f t="shared" si="4"/>
        <v/>
      </c>
      <c r="N175" s="8" t="str">
        <f>IF($D175="","",INDEX('02_能力差距自评'!$J:$J,MATCH($D175,'02_能力差距自评'!$F:$F,0)))</f>
        <v/>
      </c>
      <c r="O175" s="8" t="str">
        <f>IF($D175="","",INDEX('02_能力差距自评'!$K:$K,MATCH($D175,'02_能力差距自评'!$F:$F,0)))</f>
        <v/>
      </c>
      <c r="P175" s="8"/>
      <c r="Q175" s="8"/>
      <c r="R175" s="8"/>
      <c r="S175" s="8" t="str">
        <f t="shared" si="5"/>
        <v/>
      </c>
      <c r="T175" s="8"/>
      <c r="U175" s="8"/>
      <c r="V175" s="8"/>
    </row>
    <row r="176" spans="1:22">
      <c r="A176" s="8" t="str">
        <f>IF($D176="","","LP"&amp;TEXT(ROWS($A$2:A176),"000"))</f>
        <v/>
      </c>
      <c r="B176" s="8" t="str">
        <f>IF($D176="","",IFERROR(INDEX('02_能力差距自评'!$Q:$Q,MATCH($D176,'02_能力差距自评'!$F:$F,0)),""))</f>
        <v/>
      </c>
      <c r="C176" s="8" t="str">
        <f>IF($D176="","",IFERROR(INDEX('02_能力差距自评'!$R:$R,MATCH($D176,'02_能力差距自评'!$F:$F,0)),""))</f>
        <v/>
      </c>
      <c r="D176" s="8" t="str">
        <f>IFERROR(INDEX('02_能力差距自评'!$F$2:$F$311,MATCH(ROWS($D$2:D176),'02_能力差距自评'!$W$2:$W$311,0)),"")</f>
        <v/>
      </c>
      <c r="E176" s="8" t="str">
        <f>IF($D176="","",INDEX('02_能力差距自评'!$G:$G,MATCH($D176,'02_能力差距自评'!$F:$F,0)))</f>
        <v/>
      </c>
      <c r="F176" s="8" t="str">
        <f>IF($D176="","",INDEX('02_能力差距自评'!$C:$C,MATCH($D176,'02_能力差距自评'!$F:$F,0)))</f>
        <v/>
      </c>
      <c r="G176" s="8" t="str">
        <f>IF($D176="","",INDEX('02_能力差距自评'!$E:$E,MATCH($D176,'02_能力差距自评'!$F:$F,0)))</f>
        <v/>
      </c>
      <c r="H176" s="8" t="str">
        <f>IF($D176="","",INDEX('02_能力差距自评'!$L:$L,MATCH($D176,'02_能力差距自评'!$F:$F,0)))</f>
        <v/>
      </c>
      <c r="I176" s="8" t="str">
        <f>IF($D176="","",INDEX('02_能力差距自评'!$M:$M,MATCH($D176,'02_能力差距自评'!$F:$F,0)))</f>
        <v/>
      </c>
      <c r="J176" s="8" t="str">
        <f>IF($D176="","",INDEX('02_能力差距自评'!$N:$N,MATCH($D176,'02_能力差距自评'!$F:$F,0)))</f>
        <v/>
      </c>
      <c r="K176" s="8" t="str">
        <f>IF($D176="","",INDEX('02_能力差距自评'!$O:$O,MATCH($D176,'02_能力差距自评'!$F:$F,0)))</f>
        <v/>
      </c>
      <c r="L176" s="8" t="str">
        <f>IF($D176="","",INDEX('02_能力差距自评'!$I:$I,MATCH($D176,'02_能力差距自评'!$F:$F,0)))</f>
        <v/>
      </c>
      <c r="M176" s="8" t="str">
        <f t="shared" si="4"/>
        <v/>
      </c>
      <c r="N176" s="8" t="str">
        <f>IF($D176="","",INDEX('02_能力差距自评'!$J:$J,MATCH($D176,'02_能力差距自评'!$F:$F,0)))</f>
        <v/>
      </c>
      <c r="O176" s="8" t="str">
        <f>IF($D176="","",INDEX('02_能力差距自评'!$K:$K,MATCH($D176,'02_能力差距自评'!$F:$F,0)))</f>
        <v/>
      </c>
      <c r="P176" s="8"/>
      <c r="Q176" s="8"/>
      <c r="R176" s="8"/>
      <c r="S176" s="8" t="str">
        <f t="shared" si="5"/>
        <v/>
      </c>
      <c r="T176" s="8"/>
      <c r="U176" s="8"/>
      <c r="V176" s="8"/>
    </row>
    <row r="177" spans="1:22">
      <c r="A177" s="8" t="str">
        <f>IF($D177="","","LP"&amp;TEXT(ROWS($A$2:A177),"000"))</f>
        <v/>
      </c>
      <c r="B177" s="8" t="str">
        <f>IF($D177="","",IFERROR(INDEX('02_能力差距自评'!$Q:$Q,MATCH($D177,'02_能力差距自评'!$F:$F,0)),""))</f>
        <v/>
      </c>
      <c r="C177" s="8" t="str">
        <f>IF($D177="","",IFERROR(INDEX('02_能力差距自评'!$R:$R,MATCH($D177,'02_能力差距自评'!$F:$F,0)),""))</f>
        <v/>
      </c>
      <c r="D177" s="8" t="str">
        <f>IFERROR(INDEX('02_能力差距自评'!$F$2:$F$311,MATCH(ROWS($D$2:D177),'02_能力差距自评'!$W$2:$W$311,0)),"")</f>
        <v/>
      </c>
      <c r="E177" s="8" t="str">
        <f>IF($D177="","",INDEX('02_能力差距自评'!$G:$G,MATCH($D177,'02_能力差距自评'!$F:$F,0)))</f>
        <v/>
      </c>
      <c r="F177" s="8" t="str">
        <f>IF($D177="","",INDEX('02_能力差距自评'!$C:$C,MATCH($D177,'02_能力差距自评'!$F:$F,0)))</f>
        <v/>
      </c>
      <c r="G177" s="8" t="str">
        <f>IF($D177="","",INDEX('02_能力差距自评'!$E:$E,MATCH($D177,'02_能力差距自评'!$F:$F,0)))</f>
        <v/>
      </c>
      <c r="H177" s="8" t="str">
        <f>IF($D177="","",INDEX('02_能力差距自评'!$L:$L,MATCH($D177,'02_能力差距自评'!$F:$F,0)))</f>
        <v/>
      </c>
      <c r="I177" s="8" t="str">
        <f>IF($D177="","",INDEX('02_能力差距自评'!$M:$M,MATCH($D177,'02_能力差距自评'!$F:$F,0)))</f>
        <v/>
      </c>
      <c r="J177" s="8" t="str">
        <f>IF($D177="","",INDEX('02_能力差距自评'!$N:$N,MATCH($D177,'02_能力差距自评'!$F:$F,0)))</f>
        <v/>
      </c>
      <c r="K177" s="8" t="str">
        <f>IF($D177="","",INDEX('02_能力差距自评'!$O:$O,MATCH($D177,'02_能力差距自评'!$F:$F,0)))</f>
        <v/>
      </c>
      <c r="L177" s="8" t="str">
        <f>IF($D177="","",INDEX('02_能力差距自评'!$I:$I,MATCH($D177,'02_能力差距自评'!$F:$F,0)))</f>
        <v/>
      </c>
      <c r="M177" s="8" t="str">
        <f t="shared" si="4"/>
        <v/>
      </c>
      <c r="N177" s="8" t="str">
        <f>IF($D177="","",INDEX('02_能力差距自评'!$J:$J,MATCH($D177,'02_能力差距自评'!$F:$F,0)))</f>
        <v/>
      </c>
      <c r="O177" s="8" t="str">
        <f>IF($D177="","",INDEX('02_能力差距自评'!$K:$K,MATCH($D177,'02_能力差距自评'!$F:$F,0)))</f>
        <v/>
      </c>
      <c r="P177" s="8"/>
      <c r="Q177" s="8"/>
      <c r="R177" s="8"/>
      <c r="S177" s="8" t="str">
        <f t="shared" si="5"/>
        <v/>
      </c>
      <c r="T177" s="8"/>
      <c r="U177" s="8"/>
      <c r="V177" s="8"/>
    </row>
    <row r="178" spans="1:22">
      <c r="A178" s="8" t="str">
        <f>IF($D178="","","LP"&amp;TEXT(ROWS($A$2:A178),"000"))</f>
        <v/>
      </c>
      <c r="B178" s="8" t="str">
        <f>IF($D178="","",IFERROR(INDEX('02_能力差距自评'!$Q:$Q,MATCH($D178,'02_能力差距自评'!$F:$F,0)),""))</f>
        <v/>
      </c>
      <c r="C178" s="8" t="str">
        <f>IF($D178="","",IFERROR(INDEX('02_能力差距自评'!$R:$R,MATCH($D178,'02_能力差距自评'!$F:$F,0)),""))</f>
        <v/>
      </c>
      <c r="D178" s="8" t="str">
        <f>IFERROR(INDEX('02_能力差距自评'!$F$2:$F$311,MATCH(ROWS($D$2:D178),'02_能力差距自评'!$W$2:$W$311,0)),"")</f>
        <v/>
      </c>
      <c r="E178" s="8" t="str">
        <f>IF($D178="","",INDEX('02_能力差距自评'!$G:$G,MATCH($D178,'02_能力差距自评'!$F:$F,0)))</f>
        <v/>
      </c>
      <c r="F178" s="8" t="str">
        <f>IF($D178="","",INDEX('02_能力差距自评'!$C:$C,MATCH($D178,'02_能力差距自评'!$F:$F,0)))</f>
        <v/>
      </c>
      <c r="G178" s="8" t="str">
        <f>IF($D178="","",INDEX('02_能力差距自评'!$E:$E,MATCH($D178,'02_能力差距自评'!$F:$F,0)))</f>
        <v/>
      </c>
      <c r="H178" s="8" t="str">
        <f>IF($D178="","",INDEX('02_能力差距自评'!$L:$L,MATCH($D178,'02_能力差距自评'!$F:$F,0)))</f>
        <v/>
      </c>
      <c r="I178" s="8" t="str">
        <f>IF($D178="","",INDEX('02_能力差距自评'!$M:$M,MATCH($D178,'02_能力差距自评'!$F:$F,0)))</f>
        <v/>
      </c>
      <c r="J178" s="8" t="str">
        <f>IF($D178="","",INDEX('02_能力差距自评'!$N:$N,MATCH($D178,'02_能力差距自评'!$F:$F,0)))</f>
        <v/>
      </c>
      <c r="K178" s="8" t="str">
        <f>IF($D178="","",INDEX('02_能力差距自评'!$O:$O,MATCH($D178,'02_能力差距自评'!$F:$F,0)))</f>
        <v/>
      </c>
      <c r="L178" s="8" t="str">
        <f>IF($D178="","",INDEX('02_能力差距自评'!$I:$I,MATCH($D178,'02_能力差距自评'!$F:$F,0)))</f>
        <v/>
      </c>
      <c r="M178" s="8" t="str">
        <f t="shared" si="4"/>
        <v/>
      </c>
      <c r="N178" s="8" t="str">
        <f>IF($D178="","",INDEX('02_能力差距自评'!$J:$J,MATCH($D178,'02_能力差距自评'!$F:$F,0)))</f>
        <v/>
      </c>
      <c r="O178" s="8" t="str">
        <f>IF($D178="","",INDEX('02_能力差距自评'!$K:$K,MATCH($D178,'02_能力差距自评'!$F:$F,0)))</f>
        <v/>
      </c>
      <c r="P178" s="8"/>
      <c r="Q178" s="8"/>
      <c r="R178" s="8"/>
      <c r="S178" s="8" t="str">
        <f t="shared" si="5"/>
        <v/>
      </c>
      <c r="T178" s="8"/>
      <c r="U178" s="8"/>
      <c r="V178" s="8"/>
    </row>
    <row r="179" spans="1:22">
      <c r="A179" s="8" t="str">
        <f>IF($D179="","","LP"&amp;TEXT(ROWS($A$2:A179),"000"))</f>
        <v/>
      </c>
      <c r="B179" s="8" t="str">
        <f>IF($D179="","",IFERROR(INDEX('02_能力差距自评'!$Q:$Q,MATCH($D179,'02_能力差距自评'!$F:$F,0)),""))</f>
        <v/>
      </c>
      <c r="C179" s="8" t="str">
        <f>IF($D179="","",IFERROR(INDEX('02_能力差距自评'!$R:$R,MATCH($D179,'02_能力差距自评'!$F:$F,0)),""))</f>
        <v/>
      </c>
      <c r="D179" s="8" t="str">
        <f>IFERROR(INDEX('02_能力差距自评'!$F$2:$F$311,MATCH(ROWS($D$2:D179),'02_能力差距自评'!$W$2:$W$311,0)),"")</f>
        <v/>
      </c>
      <c r="E179" s="8" t="str">
        <f>IF($D179="","",INDEX('02_能力差距自评'!$G:$G,MATCH($D179,'02_能力差距自评'!$F:$F,0)))</f>
        <v/>
      </c>
      <c r="F179" s="8" t="str">
        <f>IF($D179="","",INDEX('02_能力差距自评'!$C:$C,MATCH($D179,'02_能力差距自评'!$F:$F,0)))</f>
        <v/>
      </c>
      <c r="G179" s="8" t="str">
        <f>IF($D179="","",INDEX('02_能力差距自评'!$E:$E,MATCH($D179,'02_能力差距自评'!$F:$F,0)))</f>
        <v/>
      </c>
      <c r="H179" s="8" t="str">
        <f>IF($D179="","",INDEX('02_能力差距自评'!$L:$L,MATCH($D179,'02_能力差距自评'!$F:$F,0)))</f>
        <v/>
      </c>
      <c r="I179" s="8" t="str">
        <f>IF($D179="","",INDEX('02_能力差距自评'!$M:$M,MATCH($D179,'02_能力差距自评'!$F:$F,0)))</f>
        <v/>
      </c>
      <c r="J179" s="8" t="str">
        <f>IF($D179="","",INDEX('02_能力差距自评'!$N:$N,MATCH($D179,'02_能力差距自评'!$F:$F,0)))</f>
        <v/>
      </c>
      <c r="K179" s="8" t="str">
        <f>IF($D179="","",INDEX('02_能力差距自评'!$O:$O,MATCH($D179,'02_能力差距自评'!$F:$F,0)))</f>
        <v/>
      </c>
      <c r="L179" s="8" t="str">
        <f>IF($D179="","",INDEX('02_能力差距自评'!$I:$I,MATCH($D179,'02_能力差距自评'!$F:$F,0)))</f>
        <v/>
      </c>
      <c r="M179" s="8" t="str">
        <f t="shared" si="4"/>
        <v/>
      </c>
      <c r="N179" s="8" t="str">
        <f>IF($D179="","",INDEX('02_能力差距自评'!$J:$J,MATCH($D179,'02_能力差距自评'!$F:$F,0)))</f>
        <v/>
      </c>
      <c r="O179" s="8" t="str">
        <f>IF($D179="","",INDEX('02_能力差距自评'!$K:$K,MATCH($D179,'02_能力差距自评'!$F:$F,0)))</f>
        <v/>
      </c>
      <c r="P179" s="8"/>
      <c r="Q179" s="8"/>
      <c r="R179" s="8"/>
      <c r="S179" s="8" t="str">
        <f t="shared" si="5"/>
        <v/>
      </c>
      <c r="T179" s="8"/>
      <c r="U179" s="8"/>
      <c r="V179" s="8"/>
    </row>
    <row r="180" spans="1:22">
      <c r="A180" s="8" t="str">
        <f>IF($D180="","","LP"&amp;TEXT(ROWS($A$2:A180),"000"))</f>
        <v/>
      </c>
      <c r="B180" s="8" t="str">
        <f>IF($D180="","",IFERROR(INDEX('02_能力差距自评'!$Q:$Q,MATCH($D180,'02_能力差距自评'!$F:$F,0)),""))</f>
        <v/>
      </c>
      <c r="C180" s="8" t="str">
        <f>IF($D180="","",IFERROR(INDEX('02_能力差距自评'!$R:$R,MATCH($D180,'02_能力差距自评'!$F:$F,0)),""))</f>
        <v/>
      </c>
      <c r="D180" s="8" t="str">
        <f>IFERROR(INDEX('02_能力差距自评'!$F$2:$F$311,MATCH(ROWS($D$2:D180),'02_能力差距自评'!$W$2:$W$311,0)),"")</f>
        <v/>
      </c>
      <c r="E180" s="8" t="str">
        <f>IF($D180="","",INDEX('02_能力差距自评'!$G:$G,MATCH($D180,'02_能力差距自评'!$F:$F,0)))</f>
        <v/>
      </c>
      <c r="F180" s="8" t="str">
        <f>IF($D180="","",INDEX('02_能力差距自评'!$C:$C,MATCH($D180,'02_能力差距自评'!$F:$F,0)))</f>
        <v/>
      </c>
      <c r="G180" s="8" t="str">
        <f>IF($D180="","",INDEX('02_能力差距自评'!$E:$E,MATCH($D180,'02_能力差距自评'!$F:$F,0)))</f>
        <v/>
      </c>
      <c r="H180" s="8" t="str">
        <f>IF($D180="","",INDEX('02_能力差距自评'!$L:$L,MATCH($D180,'02_能力差距自评'!$F:$F,0)))</f>
        <v/>
      </c>
      <c r="I180" s="8" t="str">
        <f>IF($D180="","",INDEX('02_能力差距自评'!$M:$M,MATCH($D180,'02_能力差距自评'!$F:$F,0)))</f>
        <v/>
      </c>
      <c r="J180" s="8" t="str">
        <f>IF($D180="","",INDEX('02_能力差距自评'!$N:$N,MATCH($D180,'02_能力差距自评'!$F:$F,0)))</f>
        <v/>
      </c>
      <c r="K180" s="8" t="str">
        <f>IF($D180="","",INDEX('02_能力差距自评'!$O:$O,MATCH($D180,'02_能力差距自评'!$F:$F,0)))</f>
        <v/>
      </c>
      <c r="L180" s="8" t="str">
        <f>IF($D180="","",INDEX('02_能力差距自评'!$I:$I,MATCH($D180,'02_能力差距自评'!$F:$F,0)))</f>
        <v/>
      </c>
      <c r="M180" s="8" t="str">
        <f t="shared" si="4"/>
        <v/>
      </c>
      <c r="N180" s="8" t="str">
        <f>IF($D180="","",INDEX('02_能力差距自评'!$J:$J,MATCH($D180,'02_能力差距自评'!$F:$F,0)))</f>
        <v/>
      </c>
      <c r="O180" s="8" t="str">
        <f>IF($D180="","",INDEX('02_能力差距自评'!$K:$K,MATCH($D180,'02_能力差距自评'!$F:$F,0)))</f>
        <v/>
      </c>
      <c r="P180" s="8"/>
      <c r="Q180" s="8"/>
      <c r="R180" s="8"/>
      <c r="S180" s="8" t="str">
        <f t="shared" si="5"/>
        <v/>
      </c>
      <c r="T180" s="8"/>
      <c r="U180" s="8"/>
      <c r="V180" s="8"/>
    </row>
    <row r="181" spans="1:22">
      <c r="A181" s="8" t="str">
        <f>IF($D181="","","LP"&amp;TEXT(ROWS($A$2:A181),"000"))</f>
        <v/>
      </c>
      <c r="B181" s="8" t="str">
        <f>IF($D181="","",IFERROR(INDEX('02_能力差距自评'!$Q:$Q,MATCH($D181,'02_能力差距自评'!$F:$F,0)),""))</f>
        <v/>
      </c>
      <c r="C181" s="8" t="str">
        <f>IF($D181="","",IFERROR(INDEX('02_能力差距自评'!$R:$R,MATCH($D181,'02_能力差距自评'!$F:$F,0)),""))</f>
        <v/>
      </c>
      <c r="D181" s="8" t="str">
        <f>IFERROR(INDEX('02_能力差距自评'!$F$2:$F$311,MATCH(ROWS($D$2:D181),'02_能力差距自评'!$W$2:$W$311,0)),"")</f>
        <v/>
      </c>
      <c r="E181" s="8" t="str">
        <f>IF($D181="","",INDEX('02_能力差距自评'!$G:$G,MATCH($D181,'02_能力差距自评'!$F:$F,0)))</f>
        <v/>
      </c>
      <c r="F181" s="8" t="str">
        <f>IF($D181="","",INDEX('02_能力差距自评'!$C:$C,MATCH($D181,'02_能力差距自评'!$F:$F,0)))</f>
        <v/>
      </c>
      <c r="G181" s="8" t="str">
        <f>IF($D181="","",INDEX('02_能力差距自评'!$E:$E,MATCH($D181,'02_能力差距自评'!$F:$F,0)))</f>
        <v/>
      </c>
      <c r="H181" s="8" t="str">
        <f>IF($D181="","",INDEX('02_能力差距自评'!$L:$L,MATCH($D181,'02_能力差距自评'!$F:$F,0)))</f>
        <v/>
      </c>
      <c r="I181" s="8" t="str">
        <f>IF($D181="","",INDEX('02_能力差距自评'!$M:$M,MATCH($D181,'02_能力差距自评'!$F:$F,0)))</f>
        <v/>
      </c>
      <c r="J181" s="8" t="str">
        <f>IF($D181="","",INDEX('02_能力差距自评'!$N:$N,MATCH($D181,'02_能力差距自评'!$F:$F,0)))</f>
        <v/>
      </c>
      <c r="K181" s="8" t="str">
        <f>IF($D181="","",INDEX('02_能力差距自评'!$O:$O,MATCH($D181,'02_能力差距自评'!$F:$F,0)))</f>
        <v/>
      </c>
      <c r="L181" s="8" t="str">
        <f>IF($D181="","",INDEX('02_能力差距自评'!$I:$I,MATCH($D181,'02_能力差距自评'!$F:$F,0)))</f>
        <v/>
      </c>
      <c r="M181" s="8" t="str">
        <f t="shared" si="4"/>
        <v/>
      </c>
      <c r="N181" s="8" t="str">
        <f>IF($D181="","",INDEX('02_能力差距自评'!$J:$J,MATCH($D181,'02_能力差距自评'!$F:$F,0)))</f>
        <v/>
      </c>
      <c r="O181" s="8" t="str">
        <f>IF($D181="","",INDEX('02_能力差距自评'!$K:$K,MATCH($D181,'02_能力差距自评'!$F:$F,0)))</f>
        <v/>
      </c>
      <c r="P181" s="8"/>
      <c r="Q181" s="8"/>
      <c r="R181" s="8"/>
      <c r="S181" s="8" t="str">
        <f t="shared" si="5"/>
        <v/>
      </c>
      <c r="T181" s="8"/>
      <c r="U181" s="8"/>
      <c r="V181" s="8"/>
    </row>
    <row r="182" spans="1:22">
      <c r="A182" s="8" t="str">
        <f>IF($D182="","","LP"&amp;TEXT(ROWS($A$2:A182),"000"))</f>
        <v/>
      </c>
      <c r="B182" s="8" t="str">
        <f>IF($D182="","",IFERROR(INDEX('02_能力差距自评'!$Q:$Q,MATCH($D182,'02_能力差距自评'!$F:$F,0)),""))</f>
        <v/>
      </c>
      <c r="C182" s="8" t="str">
        <f>IF($D182="","",IFERROR(INDEX('02_能力差距自评'!$R:$R,MATCH($D182,'02_能力差距自评'!$F:$F,0)),""))</f>
        <v/>
      </c>
      <c r="D182" s="8" t="str">
        <f>IFERROR(INDEX('02_能力差距自评'!$F$2:$F$311,MATCH(ROWS($D$2:D182),'02_能力差距自评'!$W$2:$W$311,0)),"")</f>
        <v/>
      </c>
      <c r="E182" s="8" t="str">
        <f>IF($D182="","",INDEX('02_能力差距自评'!$G:$G,MATCH($D182,'02_能力差距自评'!$F:$F,0)))</f>
        <v/>
      </c>
      <c r="F182" s="8" t="str">
        <f>IF($D182="","",INDEX('02_能力差距自评'!$C:$C,MATCH($D182,'02_能力差距自评'!$F:$F,0)))</f>
        <v/>
      </c>
      <c r="G182" s="8" t="str">
        <f>IF($D182="","",INDEX('02_能力差距自评'!$E:$E,MATCH($D182,'02_能力差距自评'!$F:$F,0)))</f>
        <v/>
      </c>
      <c r="H182" s="8" t="str">
        <f>IF($D182="","",INDEX('02_能力差距自评'!$L:$L,MATCH($D182,'02_能力差距自评'!$F:$F,0)))</f>
        <v/>
      </c>
      <c r="I182" s="8" t="str">
        <f>IF($D182="","",INDEX('02_能力差距自评'!$M:$M,MATCH($D182,'02_能力差距自评'!$F:$F,0)))</f>
        <v/>
      </c>
      <c r="J182" s="8" t="str">
        <f>IF($D182="","",INDEX('02_能力差距自评'!$N:$N,MATCH($D182,'02_能力差距自评'!$F:$F,0)))</f>
        <v/>
      </c>
      <c r="K182" s="8" t="str">
        <f>IF($D182="","",INDEX('02_能力差距自评'!$O:$O,MATCH($D182,'02_能力差距自评'!$F:$F,0)))</f>
        <v/>
      </c>
      <c r="L182" s="8" t="str">
        <f>IF($D182="","",INDEX('02_能力差距自评'!$I:$I,MATCH($D182,'02_能力差距自评'!$F:$F,0)))</f>
        <v/>
      </c>
      <c r="M182" s="8" t="str">
        <f t="shared" si="4"/>
        <v/>
      </c>
      <c r="N182" s="8" t="str">
        <f>IF($D182="","",INDEX('02_能力差距自评'!$J:$J,MATCH($D182,'02_能力差距自评'!$F:$F,0)))</f>
        <v/>
      </c>
      <c r="O182" s="8" t="str">
        <f>IF($D182="","",INDEX('02_能力差距自评'!$K:$K,MATCH($D182,'02_能力差距自评'!$F:$F,0)))</f>
        <v/>
      </c>
      <c r="P182" s="8"/>
      <c r="Q182" s="8"/>
      <c r="R182" s="8"/>
      <c r="S182" s="8" t="str">
        <f t="shared" si="5"/>
        <v/>
      </c>
      <c r="T182" s="8"/>
      <c r="U182" s="8"/>
      <c r="V182" s="8"/>
    </row>
    <row r="183" spans="1:22">
      <c r="A183" s="8" t="str">
        <f>IF($D183="","","LP"&amp;TEXT(ROWS($A$2:A183),"000"))</f>
        <v/>
      </c>
      <c r="B183" s="8" t="str">
        <f>IF($D183="","",IFERROR(INDEX('02_能力差距自评'!$Q:$Q,MATCH($D183,'02_能力差距自评'!$F:$F,0)),""))</f>
        <v/>
      </c>
      <c r="C183" s="8" t="str">
        <f>IF($D183="","",IFERROR(INDEX('02_能力差距自评'!$R:$R,MATCH($D183,'02_能力差距自评'!$F:$F,0)),""))</f>
        <v/>
      </c>
      <c r="D183" s="8" t="str">
        <f>IFERROR(INDEX('02_能力差距自评'!$F$2:$F$311,MATCH(ROWS($D$2:D183),'02_能力差距自评'!$W$2:$W$311,0)),"")</f>
        <v/>
      </c>
      <c r="E183" s="8" t="str">
        <f>IF($D183="","",INDEX('02_能力差距自评'!$G:$G,MATCH($D183,'02_能力差距自评'!$F:$F,0)))</f>
        <v/>
      </c>
      <c r="F183" s="8" t="str">
        <f>IF($D183="","",INDEX('02_能力差距自评'!$C:$C,MATCH($D183,'02_能力差距自评'!$F:$F,0)))</f>
        <v/>
      </c>
      <c r="G183" s="8" t="str">
        <f>IF($D183="","",INDEX('02_能力差距自评'!$E:$E,MATCH($D183,'02_能力差距自评'!$F:$F,0)))</f>
        <v/>
      </c>
      <c r="H183" s="8" t="str">
        <f>IF($D183="","",INDEX('02_能力差距自评'!$L:$L,MATCH($D183,'02_能力差距自评'!$F:$F,0)))</f>
        <v/>
      </c>
      <c r="I183" s="8" t="str">
        <f>IF($D183="","",INDEX('02_能力差距自评'!$M:$M,MATCH($D183,'02_能力差距自评'!$F:$F,0)))</f>
        <v/>
      </c>
      <c r="J183" s="8" t="str">
        <f>IF($D183="","",INDEX('02_能力差距自评'!$N:$N,MATCH($D183,'02_能力差距自评'!$F:$F,0)))</f>
        <v/>
      </c>
      <c r="K183" s="8" t="str">
        <f>IF($D183="","",INDEX('02_能力差距自评'!$O:$O,MATCH($D183,'02_能力差距自评'!$F:$F,0)))</f>
        <v/>
      </c>
      <c r="L183" s="8" t="str">
        <f>IF($D183="","",INDEX('02_能力差距自评'!$I:$I,MATCH($D183,'02_能力差距自评'!$F:$F,0)))</f>
        <v/>
      </c>
      <c r="M183" s="8" t="str">
        <f t="shared" si="4"/>
        <v/>
      </c>
      <c r="N183" s="8" t="str">
        <f>IF($D183="","",INDEX('02_能力差距自评'!$J:$J,MATCH($D183,'02_能力差距自评'!$F:$F,0)))</f>
        <v/>
      </c>
      <c r="O183" s="8" t="str">
        <f>IF($D183="","",INDEX('02_能力差距自评'!$K:$K,MATCH($D183,'02_能力差距自评'!$F:$F,0)))</f>
        <v/>
      </c>
      <c r="P183" s="8"/>
      <c r="Q183" s="8"/>
      <c r="R183" s="8"/>
      <c r="S183" s="8" t="str">
        <f t="shared" si="5"/>
        <v/>
      </c>
      <c r="T183" s="8"/>
      <c r="U183" s="8"/>
      <c r="V183" s="8"/>
    </row>
    <row r="184" spans="1:22">
      <c r="A184" s="8" t="str">
        <f>IF($D184="","","LP"&amp;TEXT(ROWS($A$2:A184),"000"))</f>
        <v/>
      </c>
      <c r="B184" s="8" t="str">
        <f>IF($D184="","",IFERROR(INDEX('02_能力差距自评'!$Q:$Q,MATCH($D184,'02_能力差距自评'!$F:$F,0)),""))</f>
        <v/>
      </c>
      <c r="C184" s="8" t="str">
        <f>IF($D184="","",IFERROR(INDEX('02_能力差距自评'!$R:$R,MATCH($D184,'02_能力差距自评'!$F:$F,0)),""))</f>
        <v/>
      </c>
      <c r="D184" s="8" t="str">
        <f>IFERROR(INDEX('02_能力差距自评'!$F$2:$F$311,MATCH(ROWS($D$2:D184),'02_能力差距自评'!$W$2:$W$311,0)),"")</f>
        <v/>
      </c>
      <c r="E184" s="8" t="str">
        <f>IF($D184="","",INDEX('02_能力差距自评'!$G:$G,MATCH($D184,'02_能力差距自评'!$F:$F,0)))</f>
        <v/>
      </c>
      <c r="F184" s="8" t="str">
        <f>IF($D184="","",INDEX('02_能力差距自评'!$C:$C,MATCH($D184,'02_能力差距自评'!$F:$F,0)))</f>
        <v/>
      </c>
      <c r="G184" s="8" t="str">
        <f>IF($D184="","",INDEX('02_能力差距自评'!$E:$E,MATCH($D184,'02_能力差距自评'!$F:$F,0)))</f>
        <v/>
      </c>
      <c r="H184" s="8" t="str">
        <f>IF($D184="","",INDEX('02_能力差距自评'!$L:$L,MATCH($D184,'02_能力差距自评'!$F:$F,0)))</f>
        <v/>
      </c>
      <c r="I184" s="8" t="str">
        <f>IF($D184="","",INDEX('02_能力差距自评'!$M:$M,MATCH($D184,'02_能力差距自评'!$F:$F,0)))</f>
        <v/>
      </c>
      <c r="J184" s="8" t="str">
        <f>IF($D184="","",INDEX('02_能力差距自评'!$N:$N,MATCH($D184,'02_能力差距自评'!$F:$F,0)))</f>
        <v/>
      </c>
      <c r="K184" s="8" t="str">
        <f>IF($D184="","",INDEX('02_能力差距自评'!$O:$O,MATCH($D184,'02_能力差距自评'!$F:$F,0)))</f>
        <v/>
      </c>
      <c r="L184" s="8" t="str">
        <f>IF($D184="","",INDEX('02_能力差距自评'!$I:$I,MATCH($D184,'02_能力差距自评'!$F:$F,0)))</f>
        <v/>
      </c>
      <c r="M184" s="8" t="str">
        <f t="shared" si="4"/>
        <v/>
      </c>
      <c r="N184" s="8" t="str">
        <f>IF($D184="","",INDEX('02_能力差距自评'!$J:$J,MATCH($D184,'02_能力差距自评'!$F:$F,0)))</f>
        <v/>
      </c>
      <c r="O184" s="8" t="str">
        <f>IF($D184="","",INDEX('02_能力差距自评'!$K:$K,MATCH($D184,'02_能力差距自评'!$F:$F,0)))</f>
        <v/>
      </c>
      <c r="P184" s="8"/>
      <c r="Q184" s="8"/>
      <c r="R184" s="8"/>
      <c r="S184" s="8" t="str">
        <f t="shared" si="5"/>
        <v/>
      </c>
      <c r="T184" s="8"/>
      <c r="U184" s="8"/>
      <c r="V184" s="8"/>
    </row>
    <row r="185" spans="1:22">
      <c r="A185" s="8" t="str">
        <f>IF($D185="","","LP"&amp;TEXT(ROWS($A$2:A185),"000"))</f>
        <v/>
      </c>
      <c r="B185" s="8" t="str">
        <f>IF($D185="","",IFERROR(INDEX('02_能力差距自评'!$Q:$Q,MATCH($D185,'02_能力差距自评'!$F:$F,0)),""))</f>
        <v/>
      </c>
      <c r="C185" s="8" t="str">
        <f>IF($D185="","",IFERROR(INDEX('02_能力差距自评'!$R:$R,MATCH($D185,'02_能力差距自评'!$F:$F,0)),""))</f>
        <v/>
      </c>
      <c r="D185" s="8" t="str">
        <f>IFERROR(INDEX('02_能力差距自评'!$F$2:$F$311,MATCH(ROWS($D$2:D185),'02_能力差距自评'!$W$2:$W$311,0)),"")</f>
        <v/>
      </c>
      <c r="E185" s="8" t="str">
        <f>IF($D185="","",INDEX('02_能力差距自评'!$G:$G,MATCH($D185,'02_能力差距自评'!$F:$F,0)))</f>
        <v/>
      </c>
      <c r="F185" s="8" t="str">
        <f>IF($D185="","",INDEX('02_能力差距自评'!$C:$C,MATCH($D185,'02_能力差距自评'!$F:$F,0)))</f>
        <v/>
      </c>
      <c r="G185" s="8" t="str">
        <f>IF($D185="","",INDEX('02_能力差距自评'!$E:$E,MATCH($D185,'02_能力差距自评'!$F:$F,0)))</f>
        <v/>
      </c>
      <c r="H185" s="8" t="str">
        <f>IF($D185="","",INDEX('02_能力差距自评'!$L:$L,MATCH($D185,'02_能力差距自评'!$F:$F,0)))</f>
        <v/>
      </c>
      <c r="I185" s="8" t="str">
        <f>IF($D185="","",INDEX('02_能力差距自评'!$M:$M,MATCH($D185,'02_能力差距自评'!$F:$F,0)))</f>
        <v/>
      </c>
      <c r="J185" s="8" t="str">
        <f>IF($D185="","",INDEX('02_能力差距自评'!$N:$N,MATCH($D185,'02_能力差距自评'!$F:$F,0)))</f>
        <v/>
      </c>
      <c r="K185" s="8" t="str">
        <f>IF($D185="","",INDEX('02_能力差距自评'!$O:$O,MATCH($D185,'02_能力差距自评'!$F:$F,0)))</f>
        <v/>
      </c>
      <c r="L185" s="8" t="str">
        <f>IF($D185="","",INDEX('02_能力差距自评'!$I:$I,MATCH($D185,'02_能力差距自评'!$F:$F,0)))</f>
        <v/>
      </c>
      <c r="M185" s="8" t="str">
        <f t="shared" si="4"/>
        <v/>
      </c>
      <c r="N185" s="8" t="str">
        <f>IF($D185="","",INDEX('02_能力差距自评'!$J:$J,MATCH($D185,'02_能力差距自评'!$F:$F,0)))</f>
        <v/>
      </c>
      <c r="O185" s="8" t="str">
        <f>IF($D185="","",INDEX('02_能力差距自评'!$K:$K,MATCH($D185,'02_能力差距自评'!$F:$F,0)))</f>
        <v/>
      </c>
      <c r="P185" s="8"/>
      <c r="Q185" s="8"/>
      <c r="R185" s="8"/>
      <c r="S185" s="8" t="str">
        <f t="shared" si="5"/>
        <v/>
      </c>
      <c r="T185" s="8"/>
      <c r="U185" s="8"/>
      <c r="V185" s="8"/>
    </row>
    <row r="186" spans="1:22">
      <c r="A186" s="8" t="str">
        <f>IF($D186="","","LP"&amp;TEXT(ROWS($A$2:A186),"000"))</f>
        <v/>
      </c>
      <c r="B186" s="8" t="str">
        <f>IF($D186="","",IFERROR(INDEX('02_能力差距自评'!$Q:$Q,MATCH($D186,'02_能力差距自评'!$F:$F,0)),""))</f>
        <v/>
      </c>
      <c r="C186" s="8" t="str">
        <f>IF($D186="","",IFERROR(INDEX('02_能力差距自评'!$R:$R,MATCH($D186,'02_能力差距自评'!$F:$F,0)),""))</f>
        <v/>
      </c>
      <c r="D186" s="8" t="str">
        <f>IFERROR(INDEX('02_能力差距自评'!$F$2:$F$311,MATCH(ROWS($D$2:D186),'02_能力差距自评'!$W$2:$W$311,0)),"")</f>
        <v/>
      </c>
      <c r="E186" s="8" t="str">
        <f>IF($D186="","",INDEX('02_能力差距自评'!$G:$G,MATCH($D186,'02_能力差距自评'!$F:$F,0)))</f>
        <v/>
      </c>
      <c r="F186" s="8" t="str">
        <f>IF($D186="","",INDEX('02_能力差距自评'!$C:$C,MATCH($D186,'02_能力差距自评'!$F:$F,0)))</f>
        <v/>
      </c>
      <c r="G186" s="8" t="str">
        <f>IF($D186="","",INDEX('02_能力差距自评'!$E:$E,MATCH($D186,'02_能力差距自评'!$F:$F,0)))</f>
        <v/>
      </c>
      <c r="H186" s="8" t="str">
        <f>IF($D186="","",INDEX('02_能力差距自评'!$L:$L,MATCH($D186,'02_能力差距自评'!$F:$F,0)))</f>
        <v/>
      </c>
      <c r="I186" s="8" t="str">
        <f>IF($D186="","",INDEX('02_能力差距自评'!$M:$M,MATCH($D186,'02_能力差距自评'!$F:$F,0)))</f>
        <v/>
      </c>
      <c r="J186" s="8" t="str">
        <f>IF($D186="","",INDEX('02_能力差距自评'!$N:$N,MATCH($D186,'02_能力差距自评'!$F:$F,0)))</f>
        <v/>
      </c>
      <c r="K186" s="8" t="str">
        <f>IF($D186="","",INDEX('02_能力差距自评'!$O:$O,MATCH($D186,'02_能力差距自评'!$F:$F,0)))</f>
        <v/>
      </c>
      <c r="L186" s="8" t="str">
        <f>IF($D186="","",INDEX('02_能力差距自评'!$I:$I,MATCH($D186,'02_能力差距自评'!$F:$F,0)))</f>
        <v/>
      </c>
      <c r="M186" s="8" t="str">
        <f t="shared" si="4"/>
        <v/>
      </c>
      <c r="N186" s="8" t="str">
        <f>IF($D186="","",INDEX('02_能力差距自评'!$J:$J,MATCH($D186,'02_能力差距自评'!$F:$F,0)))</f>
        <v/>
      </c>
      <c r="O186" s="8" t="str">
        <f>IF($D186="","",INDEX('02_能力差距自评'!$K:$K,MATCH($D186,'02_能力差距自评'!$F:$F,0)))</f>
        <v/>
      </c>
      <c r="P186" s="8"/>
      <c r="Q186" s="8"/>
      <c r="R186" s="8"/>
      <c r="S186" s="8" t="str">
        <f t="shared" si="5"/>
        <v/>
      </c>
      <c r="T186" s="8"/>
      <c r="U186" s="8"/>
      <c r="V186" s="8"/>
    </row>
    <row r="187" spans="1:22">
      <c r="A187" s="8" t="str">
        <f>IF($D187="","","LP"&amp;TEXT(ROWS($A$2:A187),"000"))</f>
        <v/>
      </c>
      <c r="B187" s="8" t="str">
        <f>IF($D187="","",IFERROR(INDEX('02_能力差距自评'!$Q:$Q,MATCH($D187,'02_能力差距自评'!$F:$F,0)),""))</f>
        <v/>
      </c>
      <c r="C187" s="8" t="str">
        <f>IF($D187="","",IFERROR(INDEX('02_能力差距自评'!$R:$R,MATCH($D187,'02_能力差距自评'!$F:$F,0)),""))</f>
        <v/>
      </c>
      <c r="D187" s="8" t="str">
        <f>IFERROR(INDEX('02_能力差距自评'!$F$2:$F$311,MATCH(ROWS($D$2:D187),'02_能力差距自评'!$W$2:$W$311,0)),"")</f>
        <v/>
      </c>
      <c r="E187" s="8" t="str">
        <f>IF($D187="","",INDEX('02_能力差距自评'!$G:$G,MATCH($D187,'02_能力差距自评'!$F:$F,0)))</f>
        <v/>
      </c>
      <c r="F187" s="8" t="str">
        <f>IF($D187="","",INDEX('02_能力差距自评'!$C:$C,MATCH($D187,'02_能力差距自评'!$F:$F,0)))</f>
        <v/>
      </c>
      <c r="G187" s="8" t="str">
        <f>IF($D187="","",INDEX('02_能力差距自评'!$E:$E,MATCH($D187,'02_能力差距自评'!$F:$F,0)))</f>
        <v/>
      </c>
      <c r="H187" s="8" t="str">
        <f>IF($D187="","",INDEX('02_能力差距自评'!$L:$L,MATCH($D187,'02_能力差距自评'!$F:$F,0)))</f>
        <v/>
      </c>
      <c r="I187" s="8" t="str">
        <f>IF($D187="","",INDEX('02_能力差距自评'!$M:$M,MATCH($D187,'02_能力差距自评'!$F:$F,0)))</f>
        <v/>
      </c>
      <c r="J187" s="8" t="str">
        <f>IF($D187="","",INDEX('02_能力差距自评'!$N:$N,MATCH($D187,'02_能力差距自评'!$F:$F,0)))</f>
        <v/>
      </c>
      <c r="K187" s="8" t="str">
        <f>IF($D187="","",INDEX('02_能力差距自评'!$O:$O,MATCH($D187,'02_能力差距自评'!$F:$F,0)))</f>
        <v/>
      </c>
      <c r="L187" s="8" t="str">
        <f>IF($D187="","",INDEX('02_能力差距自评'!$I:$I,MATCH($D187,'02_能力差距自评'!$F:$F,0)))</f>
        <v/>
      </c>
      <c r="M187" s="8" t="str">
        <f t="shared" si="4"/>
        <v/>
      </c>
      <c r="N187" s="8" t="str">
        <f>IF($D187="","",INDEX('02_能力差距自评'!$J:$J,MATCH($D187,'02_能力差距自评'!$F:$F,0)))</f>
        <v/>
      </c>
      <c r="O187" s="8" t="str">
        <f>IF($D187="","",INDEX('02_能力差距自评'!$K:$K,MATCH($D187,'02_能力差距自评'!$F:$F,0)))</f>
        <v/>
      </c>
      <c r="P187" s="8"/>
      <c r="Q187" s="8"/>
      <c r="R187" s="8"/>
      <c r="S187" s="8" t="str">
        <f t="shared" si="5"/>
        <v/>
      </c>
      <c r="T187" s="8"/>
      <c r="U187" s="8"/>
      <c r="V187" s="8"/>
    </row>
    <row r="188" spans="1:22">
      <c r="A188" s="8" t="str">
        <f>IF($D188="","","LP"&amp;TEXT(ROWS($A$2:A188),"000"))</f>
        <v/>
      </c>
      <c r="B188" s="8" t="str">
        <f>IF($D188="","",IFERROR(INDEX('02_能力差距自评'!$Q:$Q,MATCH($D188,'02_能力差距自评'!$F:$F,0)),""))</f>
        <v/>
      </c>
      <c r="C188" s="8" t="str">
        <f>IF($D188="","",IFERROR(INDEX('02_能力差距自评'!$R:$R,MATCH($D188,'02_能力差距自评'!$F:$F,0)),""))</f>
        <v/>
      </c>
      <c r="D188" s="8" t="str">
        <f>IFERROR(INDEX('02_能力差距自评'!$F$2:$F$311,MATCH(ROWS($D$2:D188),'02_能力差距自评'!$W$2:$W$311,0)),"")</f>
        <v/>
      </c>
      <c r="E188" s="8" t="str">
        <f>IF($D188="","",INDEX('02_能力差距自评'!$G:$G,MATCH($D188,'02_能力差距自评'!$F:$F,0)))</f>
        <v/>
      </c>
      <c r="F188" s="8" t="str">
        <f>IF($D188="","",INDEX('02_能力差距自评'!$C:$C,MATCH($D188,'02_能力差距自评'!$F:$F,0)))</f>
        <v/>
      </c>
      <c r="G188" s="8" t="str">
        <f>IF($D188="","",INDEX('02_能力差距自评'!$E:$E,MATCH($D188,'02_能力差距自评'!$F:$F,0)))</f>
        <v/>
      </c>
      <c r="H188" s="8" t="str">
        <f>IF($D188="","",INDEX('02_能力差距自评'!$L:$L,MATCH($D188,'02_能力差距自评'!$F:$F,0)))</f>
        <v/>
      </c>
      <c r="I188" s="8" t="str">
        <f>IF($D188="","",INDEX('02_能力差距自评'!$M:$M,MATCH($D188,'02_能力差距自评'!$F:$F,0)))</f>
        <v/>
      </c>
      <c r="J188" s="8" t="str">
        <f>IF($D188="","",INDEX('02_能力差距自评'!$N:$N,MATCH($D188,'02_能力差距自评'!$F:$F,0)))</f>
        <v/>
      </c>
      <c r="K188" s="8" t="str">
        <f>IF($D188="","",INDEX('02_能力差距自评'!$O:$O,MATCH($D188,'02_能力差距自评'!$F:$F,0)))</f>
        <v/>
      </c>
      <c r="L188" s="8" t="str">
        <f>IF($D188="","",INDEX('02_能力差距自评'!$I:$I,MATCH($D188,'02_能力差距自评'!$F:$F,0)))</f>
        <v/>
      </c>
      <c r="M188" s="8" t="str">
        <f t="shared" si="4"/>
        <v/>
      </c>
      <c r="N188" s="8" t="str">
        <f>IF($D188="","",INDEX('02_能力差距自评'!$J:$J,MATCH($D188,'02_能力差距自评'!$F:$F,0)))</f>
        <v/>
      </c>
      <c r="O188" s="8" t="str">
        <f>IF($D188="","",INDEX('02_能力差距自评'!$K:$K,MATCH($D188,'02_能力差距自评'!$F:$F,0)))</f>
        <v/>
      </c>
      <c r="P188" s="8"/>
      <c r="Q188" s="8"/>
      <c r="R188" s="8"/>
      <c r="S188" s="8" t="str">
        <f t="shared" si="5"/>
        <v/>
      </c>
      <c r="T188" s="8"/>
      <c r="U188" s="8"/>
      <c r="V188" s="8"/>
    </row>
    <row r="189" spans="1:22">
      <c r="A189" s="8" t="str">
        <f>IF($D189="","","LP"&amp;TEXT(ROWS($A$2:A189),"000"))</f>
        <v/>
      </c>
      <c r="B189" s="8" t="str">
        <f>IF($D189="","",IFERROR(INDEX('02_能力差距自评'!$Q:$Q,MATCH($D189,'02_能力差距自评'!$F:$F,0)),""))</f>
        <v/>
      </c>
      <c r="C189" s="8" t="str">
        <f>IF($D189="","",IFERROR(INDEX('02_能力差距自评'!$R:$R,MATCH($D189,'02_能力差距自评'!$F:$F,0)),""))</f>
        <v/>
      </c>
      <c r="D189" s="8" t="str">
        <f>IFERROR(INDEX('02_能力差距自评'!$F$2:$F$311,MATCH(ROWS($D$2:D189),'02_能力差距自评'!$W$2:$W$311,0)),"")</f>
        <v/>
      </c>
      <c r="E189" s="8" t="str">
        <f>IF($D189="","",INDEX('02_能力差距自评'!$G:$G,MATCH($D189,'02_能力差距自评'!$F:$F,0)))</f>
        <v/>
      </c>
      <c r="F189" s="8" t="str">
        <f>IF($D189="","",INDEX('02_能力差距自评'!$C:$C,MATCH($D189,'02_能力差距自评'!$F:$F,0)))</f>
        <v/>
      </c>
      <c r="G189" s="8" t="str">
        <f>IF($D189="","",INDEX('02_能力差距自评'!$E:$E,MATCH($D189,'02_能力差距自评'!$F:$F,0)))</f>
        <v/>
      </c>
      <c r="H189" s="8" t="str">
        <f>IF($D189="","",INDEX('02_能力差距自评'!$L:$L,MATCH($D189,'02_能力差距自评'!$F:$F,0)))</f>
        <v/>
      </c>
      <c r="I189" s="8" t="str">
        <f>IF($D189="","",INDEX('02_能力差距自评'!$M:$M,MATCH($D189,'02_能力差距自评'!$F:$F,0)))</f>
        <v/>
      </c>
      <c r="J189" s="8" t="str">
        <f>IF($D189="","",INDEX('02_能力差距自评'!$N:$N,MATCH($D189,'02_能力差距自评'!$F:$F,0)))</f>
        <v/>
      </c>
      <c r="K189" s="8" t="str">
        <f>IF($D189="","",INDEX('02_能力差距自评'!$O:$O,MATCH($D189,'02_能力差距自评'!$F:$F,0)))</f>
        <v/>
      </c>
      <c r="L189" s="8" t="str">
        <f>IF($D189="","",INDEX('02_能力差距自评'!$I:$I,MATCH($D189,'02_能力差距自评'!$F:$F,0)))</f>
        <v/>
      </c>
      <c r="M189" s="8" t="str">
        <f t="shared" si="4"/>
        <v/>
      </c>
      <c r="N189" s="8" t="str">
        <f>IF($D189="","",INDEX('02_能力差距自评'!$J:$J,MATCH($D189,'02_能力差距自评'!$F:$F,0)))</f>
        <v/>
      </c>
      <c r="O189" s="8" t="str">
        <f>IF($D189="","",INDEX('02_能力差距自评'!$K:$K,MATCH($D189,'02_能力差距自评'!$F:$F,0)))</f>
        <v/>
      </c>
      <c r="P189" s="8"/>
      <c r="Q189" s="8"/>
      <c r="R189" s="8"/>
      <c r="S189" s="8" t="str">
        <f t="shared" si="5"/>
        <v/>
      </c>
      <c r="T189" s="8"/>
      <c r="U189" s="8"/>
      <c r="V189" s="8"/>
    </row>
    <row r="190" spans="1:22">
      <c r="A190" s="8" t="str">
        <f>IF($D190="","","LP"&amp;TEXT(ROWS($A$2:A190),"000"))</f>
        <v/>
      </c>
      <c r="B190" s="8" t="str">
        <f>IF($D190="","",IFERROR(INDEX('02_能力差距自评'!$Q:$Q,MATCH($D190,'02_能力差距自评'!$F:$F,0)),""))</f>
        <v/>
      </c>
      <c r="C190" s="8" t="str">
        <f>IF($D190="","",IFERROR(INDEX('02_能力差距自评'!$R:$R,MATCH($D190,'02_能力差距自评'!$F:$F,0)),""))</f>
        <v/>
      </c>
      <c r="D190" s="8" t="str">
        <f>IFERROR(INDEX('02_能力差距自评'!$F$2:$F$311,MATCH(ROWS($D$2:D190),'02_能力差距自评'!$W$2:$W$311,0)),"")</f>
        <v/>
      </c>
      <c r="E190" s="8" t="str">
        <f>IF($D190="","",INDEX('02_能力差距自评'!$G:$G,MATCH($D190,'02_能力差距自评'!$F:$F,0)))</f>
        <v/>
      </c>
      <c r="F190" s="8" t="str">
        <f>IF($D190="","",INDEX('02_能力差距自评'!$C:$C,MATCH($D190,'02_能力差距自评'!$F:$F,0)))</f>
        <v/>
      </c>
      <c r="G190" s="8" t="str">
        <f>IF($D190="","",INDEX('02_能力差距自评'!$E:$E,MATCH($D190,'02_能力差距自评'!$F:$F,0)))</f>
        <v/>
      </c>
      <c r="H190" s="8" t="str">
        <f>IF($D190="","",INDEX('02_能力差距自评'!$L:$L,MATCH($D190,'02_能力差距自评'!$F:$F,0)))</f>
        <v/>
      </c>
      <c r="I190" s="8" t="str">
        <f>IF($D190="","",INDEX('02_能力差距自评'!$M:$M,MATCH($D190,'02_能力差距自评'!$F:$F,0)))</f>
        <v/>
      </c>
      <c r="J190" s="8" t="str">
        <f>IF($D190="","",INDEX('02_能力差距自评'!$N:$N,MATCH($D190,'02_能力差距自评'!$F:$F,0)))</f>
        <v/>
      </c>
      <c r="K190" s="8" t="str">
        <f>IF($D190="","",INDEX('02_能力差距自评'!$O:$O,MATCH($D190,'02_能力差距自评'!$F:$F,0)))</f>
        <v/>
      </c>
      <c r="L190" s="8" t="str">
        <f>IF($D190="","",INDEX('02_能力差距自评'!$I:$I,MATCH($D190,'02_能力差距自评'!$F:$F,0)))</f>
        <v/>
      </c>
      <c r="M190" s="8" t="str">
        <f t="shared" si="4"/>
        <v/>
      </c>
      <c r="N190" s="8" t="str">
        <f>IF($D190="","",INDEX('02_能力差距自评'!$J:$J,MATCH($D190,'02_能力差距自评'!$F:$F,0)))</f>
        <v/>
      </c>
      <c r="O190" s="8" t="str">
        <f>IF($D190="","",INDEX('02_能力差距自评'!$K:$K,MATCH($D190,'02_能力差距自评'!$F:$F,0)))</f>
        <v/>
      </c>
      <c r="P190" s="8"/>
      <c r="Q190" s="8"/>
      <c r="R190" s="8"/>
      <c r="S190" s="8" t="str">
        <f t="shared" si="5"/>
        <v/>
      </c>
      <c r="T190" s="8"/>
      <c r="U190" s="8"/>
      <c r="V190" s="8"/>
    </row>
    <row r="191" spans="1:22">
      <c r="A191" s="8" t="str">
        <f>IF($D191="","","LP"&amp;TEXT(ROWS($A$2:A191),"000"))</f>
        <v/>
      </c>
      <c r="B191" s="8" t="str">
        <f>IF($D191="","",IFERROR(INDEX('02_能力差距自评'!$Q:$Q,MATCH($D191,'02_能力差距自评'!$F:$F,0)),""))</f>
        <v/>
      </c>
      <c r="C191" s="8" t="str">
        <f>IF($D191="","",IFERROR(INDEX('02_能力差距自评'!$R:$R,MATCH($D191,'02_能力差距自评'!$F:$F,0)),""))</f>
        <v/>
      </c>
      <c r="D191" s="8" t="str">
        <f>IFERROR(INDEX('02_能力差距自评'!$F$2:$F$311,MATCH(ROWS($D$2:D191),'02_能力差距自评'!$W$2:$W$311,0)),"")</f>
        <v/>
      </c>
      <c r="E191" s="8" t="str">
        <f>IF($D191="","",INDEX('02_能力差距自评'!$G:$G,MATCH($D191,'02_能力差距自评'!$F:$F,0)))</f>
        <v/>
      </c>
      <c r="F191" s="8" t="str">
        <f>IF($D191="","",INDEX('02_能力差距自评'!$C:$C,MATCH($D191,'02_能力差距自评'!$F:$F,0)))</f>
        <v/>
      </c>
      <c r="G191" s="8" t="str">
        <f>IF($D191="","",INDEX('02_能力差距自评'!$E:$E,MATCH($D191,'02_能力差距自评'!$F:$F,0)))</f>
        <v/>
      </c>
      <c r="H191" s="8" t="str">
        <f>IF($D191="","",INDEX('02_能力差距自评'!$L:$L,MATCH($D191,'02_能力差距自评'!$F:$F,0)))</f>
        <v/>
      </c>
      <c r="I191" s="8" t="str">
        <f>IF($D191="","",INDEX('02_能力差距自评'!$M:$M,MATCH($D191,'02_能力差距自评'!$F:$F,0)))</f>
        <v/>
      </c>
      <c r="J191" s="8" t="str">
        <f>IF($D191="","",INDEX('02_能力差距自评'!$N:$N,MATCH($D191,'02_能力差距自评'!$F:$F,0)))</f>
        <v/>
      </c>
      <c r="K191" s="8" t="str">
        <f>IF($D191="","",INDEX('02_能力差距自评'!$O:$O,MATCH($D191,'02_能力差距自评'!$F:$F,0)))</f>
        <v/>
      </c>
      <c r="L191" s="8" t="str">
        <f>IF($D191="","",INDEX('02_能力差距自评'!$I:$I,MATCH($D191,'02_能力差距自评'!$F:$F,0)))</f>
        <v/>
      </c>
      <c r="M191" s="8" t="str">
        <f t="shared" si="4"/>
        <v/>
      </c>
      <c r="N191" s="8" t="str">
        <f>IF($D191="","",INDEX('02_能力差距自评'!$J:$J,MATCH($D191,'02_能力差距自评'!$F:$F,0)))</f>
        <v/>
      </c>
      <c r="O191" s="8" t="str">
        <f>IF($D191="","",INDEX('02_能力差距自评'!$K:$K,MATCH($D191,'02_能力差距自评'!$F:$F,0)))</f>
        <v/>
      </c>
      <c r="P191" s="8"/>
      <c r="Q191" s="8"/>
      <c r="R191" s="8"/>
      <c r="S191" s="8" t="str">
        <f t="shared" si="5"/>
        <v/>
      </c>
      <c r="T191" s="8"/>
      <c r="U191" s="8"/>
      <c r="V191" s="8"/>
    </row>
    <row r="192" spans="1:22">
      <c r="A192" s="8" t="str">
        <f>IF($D192="","","LP"&amp;TEXT(ROWS($A$2:A192),"000"))</f>
        <v/>
      </c>
      <c r="B192" s="8" t="str">
        <f>IF($D192="","",IFERROR(INDEX('02_能力差距自评'!$Q:$Q,MATCH($D192,'02_能力差距自评'!$F:$F,0)),""))</f>
        <v/>
      </c>
      <c r="C192" s="8" t="str">
        <f>IF($D192="","",IFERROR(INDEX('02_能力差距自评'!$R:$R,MATCH($D192,'02_能力差距自评'!$F:$F,0)),""))</f>
        <v/>
      </c>
      <c r="D192" s="8" t="str">
        <f>IFERROR(INDEX('02_能力差距自评'!$F$2:$F$311,MATCH(ROWS($D$2:D192),'02_能力差距自评'!$W$2:$W$311,0)),"")</f>
        <v/>
      </c>
      <c r="E192" s="8" t="str">
        <f>IF($D192="","",INDEX('02_能力差距自评'!$G:$G,MATCH($D192,'02_能力差距自评'!$F:$F,0)))</f>
        <v/>
      </c>
      <c r="F192" s="8" t="str">
        <f>IF($D192="","",INDEX('02_能力差距自评'!$C:$C,MATCH($D192,'02_能力差距自评'!$F:$F,0)))</f>
        <v/>
      </c>
      <c r="G192" s="8" t="str">
        <f>IF($D192="","",INDEX('02_能力差距自评'!$E:$E,MATCH($D192,'02_能力差距自评'!$F:$F,0)))</f>
        <v/>
      </c>
      <c r="H192" s="8" t="str">
        <f>IF($D192="","",INDEX('02_能力差距自评'!$L:$L,MATCH($D192,'02_能力差距自评'!$F:$F,0)))</f>
        <v/>
      </c>
      <c r="I192" s="8" t="str">
        <f>IF($D192="","",INDEX('02_能力差距自评'!$M:$M,MATCH($D192,'02_能力差距自评'!$F:$F,0)))</f>
        <v/>
      </c>
      <c r="J192" s="8" t="str">
        <f>IF($D192="","",INDEX('02_能力差距自评'!$N:$N,MATCH($D192,'02_能力差距自评'!$F:$F,0)))</f>
        <v/>
      </c>
      <c r="K192" s="8" t="str">
        <f>IF($D192="","",INDEX('02_能力差距自评'!$O:$O,MATCH($D192,'02_能力差距自评'!$F:$F,0)))</f>
        <v/>
      </c>
      <c r="L192" s="8" t="str">
        <f>IF($D192="","",INDEX('02_能力差距自评'!$I:$I,MATCH($D192,'02_能力差距自评'!$F:$F,0)))</f>
        <v/>
      </c>
      <c r="M192" s="8" t="str">
        <f t="shared" si="4"/>
        <v/>
      </c>
      <c r="N192" s="8" t="str">
        <f>IF($D192="","",INDEX('02_能力差距自评'!$J:$J,MATCH($D192,'02_能力差距自评'!$F:$F,0)))</f>
        <v/>
      </c>
      <c r="O192" s="8" t="str">
        <f>IF($D192="","",INDEX('02_能力差距自评'!$K:$K,MATCH($D192,'02_能力差距自评'!$F:$F,0)))</f>
        <v/>
      </c>
      <c r="P192" s="8"/>
      <c r="Q192" s="8"/>
      <c r="R192" s="8"/>
      <c r="S192" s="8" t="str">
        <f t="shared" si="5"/>
        <v/>
      </c>
      <c r="T192" s="8"/>
      <c r="U192" s="8"/>
      <c r="V192" s="8"/>
    </row>
    <row r="193" spans="1:22">
      <c r="A193" s="8" t="str">
        <f>IF($D193="","","LP"&amp;TEXT(ROWS($A$2:A193),"000"))</f>
        <v/>
      </c>
      <c r="B193" s="8" t="str">
        <f>IF($D193="","",IFERROR(INDEX('02_能力差距自评'!$Q:$Q,MATCH($D193,'02_能力差距自评'!$F:$F,0)),""))</f>
        <v/>
      </c>
      <c r="C193" s="8" t="str">
        <f>IF($D193="","",IFERROR(INDEX('02_能力差距自评'!$R:$R,MATCH($D193,'02_能力差距自评'!$F:$F,0)),""))</f>
        <v/>
      </c>
      <c r="D193" s="8" t="str">
        <f>IFERROR(INDEX('02_能力差距自评'!$F$2:$F$311,MATCH(ROWS($D$2:D193),'02_能力差距自评'!$W$2:$W$311,0)),"")</f>
        <v/>
      </c>
      <c r="E193" s="8" t="str">
        <f>IF($D193="","",INDEX('02_能力差距自评'!$G:$G,MATCH($D193,'02_能力差距自评'!$F:$F,0)))</f>
        <v/>
      </c>
      <c r="F193" s="8" t="str">
        <f>IF($D193="","",INDEX('02_能力差距自评'!$C:$C,MATCH($D193,'02_能力差距自评'!$F:$F,0)))</f>
        <v/>
      </c>
      <c r="G193" s="8" t="str">
        <f>IF($D193="","",INDEX('02_能力差距自评'!$E:$E,MATCH($D193,'02_能力差距自评'!$F:$F,0)))</f>
        <v/>
      </c>
      <c r="H193" s="8" t="str">
        <f>IF($D193="","",INDEX('02_能力差距自评'!$L:$L,MATCH($D193,'02_能力差距自评'!$F:$F,0)))</f>
        <v/>
      </c>
      <c r="I193" s="8" t="str">
        <f>IF($D193="","",INDEX('02_能力差距自评'!$M:$M,MATCH($D193,'02_能力差距自评'!$F:$F,0)))</f>
        <v/>
      </c>
      <c r="J193" s="8" t="str">
        <f>IF($D193="","",INDEX('02_能力差距自评'!$N:$N,MATCH($D193,'02_能力差距自评'!$F:$F,0)))</f>
        <v/>
      </c>
      <c r="K193" s="8" t="str">
        <f>IF($D193="","",INDEX('02_能力差距自评'!$O:$O,MATCH($D193,'02_能力差距自评'!$F:$F,0)))</f>
        <v/>
      </c>
      <c r="L193" s="8" t="str">
        <f>IF($D193="","",INDEX('02_能力差距自评'!$I:$I,MATCH($D193,'02_能力差距自评'!$F:$F,0)))</f>
        <v/>
      </c>
      <c r="M193" s="8" t="str">
        <f t="shared" si="4"/>
        <v/>
      </c>
      <c r="N193" s="8" t="str">
        <f>IF($D193="","",INDEX('02_能力差距自评'!$J:$J,MATCH($D193,'02_能力差距自评'!$F:$F,0)))</f>
        <v/>
      </c>
      <c r="O193" s="8" t="str">
        <f>IF($D193="","",INDEX('02_能力差距自评'!$K:$K,MATCH($D193,'02_能力差距自评'!$F:$F,0)))</f>
        <v/>
      </c>
      <c r="P193" s="8"/>
      <c r="Q193" s="8"/>
      <c r="R193" s="8"/>
      <c r="S193" s="8" t="str">
        <f t="shared" si="5"/>
        <v/>
      </c>
      <c r="T193" s="8"/>
      <c r="U193" s="8"/>
      <c r="V193" s="8"/>
    </row>
    <row r="194" spans="1:22">
      <c r="A194" s="8" t="str">
        <f>IF($D194="","","LP"&amp;TEXT(ROWS($A$2:A194),"000"))</f>
        <v/>
      </c>
      <c r="B194" s="8" t="str">
        <f>IF($D194="","",IFERROR(INDEX('02_能力差距自评'!$Q:$Q,MATCH($D194,'02_能力差距自评'!$F:$F,0)),""))</f>
        <v/>
      </c>
      <c r="C194" s="8" t="str">
        <f>IF($D194="","",IFERROR(INDEX('02_能力差距自评'!$R:$R,MATCH($D194,'02_能力差距自评'!$F:$F,0)),""))</f>
        <v/>
      </c>
      <c r="D194" s="8" t="str">
        <f>IFERROR(INDEX('02_能力差距自评'!$F$2:$F$311,MATCH(ROWS($D$2:D194),'02_能力差距自评'!$W$2:$W$311,0)),"")</f>
        <v/>
      </c>
      <c r="E194" s="8" t="str">
        <f>IF($D194="","",INDEX('02_能力差距自评'!$G:$G,MATCH($D194,'02_能力差距自评'!$F:$F,0)))</f>
        <v/>
      </c>
      <c r="F194" s="8" t="str">
        <f>IF($D194="","",INDEX('02_能力差距自评'!$C:$C,MATCH($D194,'02_能力差距自评'!$F:$F,0)))</f>
        <v/>
      </c>
      <c r="G194" s="8" t="str">
        <f>IF($D194="","",INDEX('02_能力差距自评'!$E:$E,MATCH($D194,'02_能力差距自评'!$F:$F,0)))</f>
        <v/>
      </c>
      <c r="H194" s="8" t="str">
        <f>IF($D194="","",INDEX('02_能力差距自评'!$L:$L,MATCH($D194,'02_能力差距自评'!$F:$F,0)))</f>
        <v/>
      </c>
      <c r="I194" s="8" t="str">
        <f>IF($D194="","",INDEX('02_能力差距自评'!$M:$M,MATCH($D194,'02_能力差距自评'!$F:$F,0)))</f>
        <v/>
      </c>
      <c r="J194" s="8" t="str">
        <f>IF($D194="","",INDEX('02_能力差距自评'!$N:$N,MATCH($D194,'02_能力差距自评'!$F:$F,0)))</f>
        <v/>
      </c>
      <c r="K194" s="8" t="str">
        <f>IF($D194="","",INDEX('02_能力差距自评'!$O:$O,MATCH($D194,'02_能力差距自评'!$F:$F,0)))</f>
        <v/>
      </c>
      <c r="L194" s="8" t="str">
        <f>IF($D194="","",INDEX('02_能力差距自评'!$I:$I,MATCH($D194,'02_能力差距自评'!$F:$F,0)))</f>
        <v/>
      </c>
      <c r="M194" s="8" t="str">
        <f t="shared" ref="M194:M257" si="6">IF($D194="","",$E194)</f>
        <v/>
      </c>
      <c r="N194" s="8" t="str">
        <f>IF($D194="","",INDEX('02_能力差距自评'!$J:$J,MATCH($D194,'02_能力差距自评'!$F:$F,0)))</f>
        <v/>
      </c>
      <c r="O194" s="8" t="str">
        <f>IF($D194="","",INDEX('02_能力差距自评'!$K:$K,MATCH($D194,'02_能力差距自评'!$F:$F,0)))</f>
        <v/>
      </c>
      <c r="P194" s="8"/>
      <c r="Q194" s="8"/>
      <c r="R194" s="8"/>
      <c r="S194" s="8" t="str">
        <f t="shared" ref="S194:S257" si="7">IF($D194="","","未开始")</f>
        <v/>
      </c>
      <c r="T194" s="8"/>
      <c r="U194" s="8"/>
      <c r="V194" s="8"/>
    </row>
    <row r="195" spans="1:22">
      <c r="A195" s="8" t="str">
        <f>IF($D195="","","LP"&amp;TEXT(ROWS($A$2:A195),"000"))</f>
        <v/>
      </c>
      <c r="B195" s="8" t="str">
        <f>IF($D195="","",IFERROR(INDEX('02_能力差距自评'!$Q:$Q,MATCH($D195,'02_能力差距自评'!$F:$F,0)),""))</f>
        <v/>
      </c>
      <c r="C195" s="8" t="str">
        <f>IF($D195="","",IFERROR(INDEX('02_能力差距自评'!$R:$R,MATCH($D195,'02_能力差距自评'!$F:$F,0)),""))</f>
        <v/>
      </c>
      <c r="D195" s="8" t="str">
        <f>IFERROR(INDEX('02_能力差距自评'!$F$2:$F$311,MATCH(ROWS($D$2:D195),'02_能力差距自评'!$W$2:$W$311,0)),"")</f>
        <v/>
      </c>
      <c r="E195" s="8" t="str">
        <f>IF($D195="","",INDEX('02_能力差距自评'!$G:$G,MATCH($D195,'02_能力差距自评'!$F:$F,0)))</f>
        <v/>
      </c>
      <c r="F195" s="8" t="str">
        <f>IF($D195="","",INDEX('02_能力差距自评'!$C:$C,MATCH($D195,'02_能力差距自评'!$F:$F,0)))</f>
        <v/>
      </c>
      <c r="G195" s="8" t="str">
        <f>IF($D195="","",INDEX('02_能力差距自评'!$E:$E,MATCH($D195,'02_能力差距自评'!$F:$F,0)))</f>
        <v/>
      </c>
      <c r="H195" s="8" t="str">
        <f>IF($D195="","",INDEX('02_能力差距自评'!$L:$L,MATCH($D195,'02_能力差距自评'!$F:$F,0)))</f>
        <v/>
      </c>
      <c r="I195" s="8" t="str">
        <f>IF($D195="","",INDEX('02_能力差距自评'!$M:$M,MATCH($D195,'02_能力差距自评'!$F:$F,0)))</f>
        <v/>
      </c>
      <c r="J195" s="8" t="str">
        <f>IF($D195="","",INDEX('02_能力差距自评'!$N:$N,MATCH($D195,'02_能力差距自评'!$F:$F,0)))</f>
        <v/>
      </c>
      <c r="K195" s="8" t="str">
        <f>IF($D195="","",INDEX('02_能力差距自评'!$O:$O,MATCH($D195,'02_能力差距自评'!$F:$F,0)))</f>
        <v/>
      </c>
      <c r="L195" s="8" t="str">
        <f>IF($D195="","",INDEX('02_能力差距自评'!$I:$I,MATCH($D195,'02_能力差距自评'!$F:$F,0)))</f>
        <v/>
      </c>
      <c r="M195" s="8" t="str">
        <f t="shared" si="6"/>
        <v/>
      </c>
      <c r="N195" s="8" t="str">
        <f>IF($D195="","",INDEX('02_能力差距自评'!$J:$J,MATCH($D195,'02_能力差距自评'!$F:$F,0)))</f>
        <v/>
      </c>
      <c r="O195" s="8" t="str">
        <f>IF($D195="","",INDEX('02_能力差距自评'!$K:$K,MATCH($D195,'02_能力差距自评'!$F:$F,0)))</f>
        <v/>
      </c>
      <c r="P195" s="8"/>
      <c r="Q195" s="8"/>
      <c r="R195" s="8"/>
      <c r="S195" s="8" t="str">
        <f t="shared" si="7"/>
        <v/>
      </c>
      <c r="T195" s="8"/>
      <c r="U195" s="8"/>
      <c r="V195" s="8"/>
    </row>
    <row r="196" spans="1:22">
      <c r="A196" s="8" t="str">
        <f>IF($D196="","","LP"&amp;TEXT(ROWS($A$2:A196),"000"))</f>
        <v/>
      </c>
      <c r="B196" s="8" t="str">
        <f>IF($D196="","",IFERROR(INDEX('02_能力差距自评'!$Q:$Q,MATCH($D196,'02_能力差距自评'!$F:$F,0)),""))</f>
        <v/>
      </c>
      <c r="C196" s="8" t="str">
        <f>IF($D196="","",IFERROR(INDEX('02_能力差距自评'!$R:$R,MATCH($D196,'02_能力差距自评'!$F:$F,0)),""))</f>
        <v/>
      </c>
      <c r="D196" s="8" t="str">
        <f>IFERROR(INDEX('02_能力差距自评'!$F$2:$F$311,MATCH(ROWS($D$2:D196),'02_能力差距自评'!$W$2:$W$311,0)),"")</f>
        <v/>
      </c>
      <c r="E196" s="8" t="str">
        <f>IF($D196="","",INDEX('02_能力差距自评'!$G:$G,MATCH($D196,'02_能力差距自评'!$F:$F,0)))</f>
        <v/>
      </c>
      <c r="F196" s="8" t="str">
        <f>IF($D196="","",INDEX('02_能力差距自评'!$C:$C,MATCH($D196,'02_能力差距自评'!$F:$F,0)))</f>
        <v/>
      </c>
      <c r="G196" s="8" t="str">
        <f>IF($D196="","",INDEX('02_能力差距自评'!$E:$E,MATCH($D196,'02_能力差距自评'!$F:$F,0)))</f>
        <v/>
      </c>
      <c r="H196" s="8" t="str">
        <f>IF($D196="","",INDEX('02_能力差距自评'!$L:$L,MATCH($D196,'02_能力差距自评'!$F:$F,0)))</f>
        <v/>
      </c>
      <c r="I196" s="8" t="str">
        <f>IF($D196="","",INDEX('02_能力差距自评'!$M:$M,MATCH($D196,'02_能力差距自评'!$F:$F,0)))</f>
        <v/>
      </c>
      <c r="J196" s="8" t="str">
        <f>IF($D196="","",INDEX('02_能力差距自评'!$N:$N,MATCH($D196,'02_能力差距自评'!$F:$F,0)))</f>
        <v/>
      </c>
      <c r="K196" s="8" t="str">
        <f>IF($D196="","",INDEX('02_能力差距自评'!$O:$O,MATCH($D196,'02_能力差距自评'!$F:$F,0)))</f>
        <v/>
      </c>
      <c r="L196" s="8" t="str">
        <f>IF($D196="","",INDEX('02_能力差距自评'!$I:$I,MATCH($D196,'02_能力差距自评'!$F:$F,0)))</f>
        <v/>
      </c>
      <c r="M196" s="8" t="str">
        <f t="shared" si="6"/>
        <v/>
      </c>
      <c r="N196" s="8" t="str">
        <f>IF($D196="","",INDEX('02_能力差距自评'!$J:$J,MATCH($D196,'02_能力差距自评'!$F:$F,0)))</f>
        <v/>
      </c>
      <c r="O196" s="8" t="str">
        <f>IF($D196="","",INDEX('02_能力差距自评'!$K:$K,MATCH($D196,'02_能力差距自评'!$F:$F,0)))</f>
        <v/>
      </c>
      <c r="P196" s="8"/>
      <c r="Q196" s="8"/>
      <c r="R196" s="8"/>
      <c r="S196" s="8" t="str">
        <f t="shared" si="7"/>
        <v/>
      </c>
      <c r="T196" s="8"/>
      <c r="U196" s="8"/>
      <c r="V196" s="8"/>
    </row>
    <row r="197" spans="1:22">
      <c r="A197" s="8" t="str">
        <f>IF($D197="","","LP"&amp;TEXT(ROWS($A$2:A197),"000"))</f>
        <v/>
      </c>
      <c r="B197" s="8" t="str">
        <f>IF($D197="","",IFERROR(INDEX('02_能力差距自评'!$Q:$Q,MATCH($D197,'02_能力差距自评'!$F:$F,0)),""))</f>
        <v/>
      </c>
      <c r="C197" s="8" t="str">
        <f>IF($D197="","",IFERROR(INDEX('02_能力差距自评'!$R:$R,MATCH($D197,'02_能力差距自评'!$F:$F,0)),""))</f>
        <v/>
      </c>
      <c r="D197" s="8" t="str">
        <f>IFERROR(INDEX('02_能力差距自评'!$F$2:$F$311,MATCH(ROWS($D$2:D197),'02_能力差距自评'!$W$2:$W$311,0)),"")</f>
        <v/>
      </c>
      <c r="E197" s="8" t="str">
        <f>IF($D197="","",INDEX('02_能力差距自评'!$G:$G,MATCH($D197,'02_能力差距自评'!$F:$F,0)))</f>
        <v/>
      </c>
      <c r="F197" s="8" t="str">
        <f>IF($D197="","",INDEX('02_能力差距自评'!$C:$C,MATCH($D197,'02_能力差距自评'!$F:$F,0)))</f>
        <v/>
      </c>
      <c r="G197" s="8" t="str">
        <f>IF($D197="","",INDEX('02_能力差距自评'!$E:$E,MATCH($D197,'02_能力差距自评'!$F:$F,0)))</f>
        <v/>
      </c>
      <c r="H197" s="8" t="str">
        <f>IF($D197="","",INDEX('02_能力差距自评'!$L:$L,MATCH($D197,'02_能力差距自评'!$F:$F,0)))</f>
        <v/>
      </c>
      <c r="I197" s="8" t="str">
        <f>IF($D197="","",INDEX('02_能力差距自评'!$M:$M,MATCH($D197,'02_能力差距自评'!$F:$F,0)))</f>
        <v/>
      </c>
      <c r="J197" s="8" t="str">
        <f>IF($D197="","",INDEX('02_能力差距自评'!$N:$N,MATCH($D197,'02_能力差距自评'!$F:$F,0)))</f>
        <v/>
      </c>
      <c r="K197" s="8" t="str">
        <f>IF($D197="","",INDEX('02_能力差距自评'!$O:$O,MATCH($D197,'02_能力差距自评'!$F:$F,0)))</f>
        <v/>
      </c>
      <c r="L197" s="8" t="str">
        <f>IF($D197="","",INDEX('02_能力差距自评'!$I:$I,MATCH($D197,'02_能力差距自评'!$F:$F,0)))</f>
        <v/>
      </c>
      <c r="M197" s="8" t="str">
        <f t="shared" si="6"/>
        <v/>
      </c>
      <c r="N197" s="8" t="str">
        <f>IF($D197="","",INDEX('02_能力差距自评'!$J:$J,MATCH($D197,'02_能力差距自评'!$F:$F,0)))</f>
        <v/>
      </c>
      <c r="O197" s="8" t="str">
        <f>IF($D197="","",INDEX('02_能力差距自评'!$K:$K,MATCH($D197,'02_能力差距自评'!$F:$F,0)))</f>
        <v/>
      </c>
      <c r="P197" s="8"/>
      <c r="Q197" s="8"/>
      <c r="R197" s="8"/>
      <c r="S197" s="8" t="str">
        <f t="shared" si="7"/>
        <v/>
      </c>
      <c r="T197" s="8"/>
      <c r="U197" s="8"/>
      <c r="V197" s="8"/>
    </row>
    <row r="198" spans="1:22">
      <c r="A198" s="8" t="str">
        <f>IF($D198="","","LP"&amp;TEXT(ROWS($A$2:A198),"000"))</f>
        <v/>
      </c>
      <c r="B198" s="8" t="str">
        <f>IF($D198="","",IFERROR(INDEX('02_能力差距自评'!$Q:$Q,MATCH($D198,'02_能力差距自评'!$F:$F,0)),""))</f>
        <v/>
      </c>
      <c r="C198" s="8" t="str">
        <f>IF($D198="","",IFERROR(INDEX('02_能力差距自评'!$R:$R,MATCH($D198,'02_能力差距自评'!$F:$F,0)),""))</f>
        <v/>
      </c>
      <c r="D198" s="8" t="str">
        <f>IFERROR(INDEX('02_能力差距自评'!$F$2:$F$311,MATCH(ROWS($D$2:D198),'02_能力差距自评'!$W$2:$W$311,0)),"")</f>
        <v/>
      </c>
      <c r="E198" s="8" t="str">
        <f>IF($D198="","",INDEX('02_能力差距自评'!$G:$G,MATCH($D198,'02_能力差距自评'!$F:$F,0)))</f>
        <v/>
      </c>
      <c r="F198" s="8" t="str">
        <f>IF($D198="","",INDEX('02_能力差距自评'!$C:$C,MATCH($D198,'02_能力差距自评'!$F:$F,0)))</f>
        <v/>
      </c>
      <c r="G198" s="8" t="str">
        <f>IF($D198="","",INDEX('02_能力差距自评'!$E:$E,MATCH($D198,'02_能力差距自评'!$F:$F,0)))</f>
        <v/>
      </c>
      <c r="H198" s="8" t="str">
        <f>IF($D198="","",INDEX('02_能力差距自评'!$L:$L,MATCH($D198,'02_能力差距自评'!$F:$F,0)))</f>
        <v/>
      </c>
      <c r="I198" s="8" t="str">
        <f>IF($D198="","",INDEX('02_能力差距自评'!$M:$M,MATCH($D198,'02_能力差距自评'!$F:$F,0)))</f>
        <v/>
      </c>
      <c r="J198" s="8" t="str">
        <f>IF($D198="","",INDEX('02_能力差距自评'!$N:$N,MATCH($D198,'02_能力差距自评'!$F:$F,0)))</f>
        <v/>
      </c>
      <c r="K198" s="8" t="str">
        <f>IF($D198="","",INDEX('02_能力差距自评'!$O:$O,MATCH($D198,'02_能力差距自评'!$F:$F,0)))</f>
        <v/>
      </c>
      <c r="L198" s="8" t="str">
        <f>IF($D198="","",INDEX('02_能力差距自评'!$I:$I,MATCH($D198,'02_能力差距自评'!$F:$F,0)))</f>
        <v/>
      </c>
      <c r="M198" s="8" t="str">
        <f t="shared" si="6"/>
        <v/>
      </c>
      <c r="N198" s="8" t="str">
        <f>IF($D198="","",INDEX('02_能力差距自评'!$J:$J,MATCH($D198,'02_能力差距自评'!$F:$F,0)))</f>
        <v/>
      </c>
      <c r="O198" s="8" t="str">
        <f>IF($D198="","",INDEX('02_能力差距自评'!$K:$K,MATCH($D198,'02_能力差距自评'!$F:$F,0)))</f>
        <v/>
      </c>
      <c r="P198" s="8"/>
      <c r="Q198" s="8"/>
      <c r="R198" s="8"/>
      <c r="S198" s="8" t="str">
        <f t="shared" si="7"/>
        <v/>
      </c>
      <c r="T198" s="8"/>
      <c r="U198" s="8"/>
      <c r="V198" s="8"/>
    </row>
    <row r="199" spans="1:22">
      <c r="A199" s="8" t="str">
        <f>IF($D199="","","LP"&amp;TEXT(ROWS($A$2:A199),"000"))</f>
        <v/>
      </c>
      <c r="B199" s="8" t="str">
        <f>IF($D199="","",IFERROR(INDEX('02_能力差距自评'!$Q:$Q,MATCH($D199,'02_能力差距自评'!$F:$F,0)),""))</f>
        <v/>
      </c>
      <c r="C199" s="8" t="str">
        <f>IF($D199="","",IFERROR(INDEX('02_能力差距自评'!$R:$R,MATCH($D199,'02_能力差距自评'!$F:$F,0)),""))</f>
        <v/>
      </c>
      <c r="D199" s="8" t="str">
        <f>IFERROR(INDEX('02_能力差距自评'!$F$2:$F$311,MATCH(ROWS($D$2:D199),'02_能力差距自评'!$W$2:$W$311,0)),"")</f>
        <v/>
      </c>
      <c r="E199" s="8" t="str">
        <f>IF($D199="","",INDEX('02_能力差距自评'!$G:$G,MATCH($D199,'02_能力差距自评'!$F:$F,0)))</f>
        <v/>
      </c>
      <c r="F199" s="8" t="str">
        <f>IF($D199="","",INDEX('02_能力差距自评'!$C:$C,MATCH($D199,'02_能力差距自评'!$F:$F,0)))</f>
        <v/>
      </c>
      <c r="G199" s="8" t="str">
        <f>IF($D199="","",INDEX('02_能力差距自评'!$E:$E,MATCH($D199,'02_能力差距自评'!$F:$F,0)))</f>
        <v/>
      </c>
      <c r="H199" s="8" t="str">
        <f>IF($D199="","",INDEX('02_能力差距自评'!$L:$L,MATCH($D199,'02_能力差距自评'!$F:$F,0)))</f>
        <v/>
      </c>
      <c r="I199" s="8" t="str">
        <f>IF($D199="","",INDEX('02_能力差距自评'!$M:$M,MATCH($D199,'02_能力差距自评'!$F:$F,0)))</f>
        <v/>
      </c>
      <c r="J199" s="8" t="str">
        <f>IF($D199="","",INDEX('02_能力差距自评'!$N:$N,MATCH($D199,'02_能力差距自评'!$F:$F,0)))</f>
        <v/>
      </c>
      <c r="K199" s="8" t="str">
        <f>IF($D199="","",INDEX('02_能力差距自评'!$O:$O,MATCH($D199,'02_能力差距自评'!$F:$F,0)))</f>
        <v/>
      </c>
      <c r="L199" s="8" t="str">
        <f>IF($D199="","",INDEX('02_能力差距自评'!$I:$I,MATCH($D199,'02_能力差距自评'!$F:$F,0)))</f>
        <v/>
      </c>
      <c r="M199" s="8" t="str">
        <f t="shared" si="6"/>
        <v/>
      </c>
      <c r="N199" s="8" t="str">
        <f>IF($D199="","",INDEX('02_能力差距自评'!$J:$J,MATCH($D199,'02_能力差距自评'!$F:$F,0)))</f>
        <v/>
      </c>
      <c r="O199" s="8" t="str">
        <f>IF($D199="","",INDEX('02_能力差距自评'!$K:$K,MATCH($D199,'02_能力差距自评'!$F:$F,0)))</f>
        <v/>
      </c>
      <c r="P199" s="8"/>
      <c r="Q199" s="8"/>
      <c r="R199" s="8"/>
      <c r="S199" s="8" t="str">
        <f t="shared" si="7"/>
        <v/>
      </c>
      <c r="T199" s="8"/>
      <c r="U199" s="8"/>
      <c r="V199" s="8"/>
    </row>
    <row r="200" spans="1:22">
      <c r="A200" s="8" t="str">
        <f>IF($D200="","","LP"&amp;TEXT(ROWS($A$2:A200),"000"))</f>
        <v/>
      </c>
      <c r="B200" s="8" t="str">
        <f>IF($D200="","",IFERROR(INDEX('02_能力差距自评'!$Q:$Q,MATCH($D200,'02_能力差距自评'!$F:$F,0)),""))</f>
        <v/>
      </c>
      <c r="C200" s="8" t="str">
        <f>IF($D200="","",IFERROR(INDEX('02_能力差距自评'!$R:$R,MATCH($D200,'02_能力差距自评'!$F:$F,0)),""))</f>
        <v/>
      </c>
      <c r="D200" s="8" t="str">
        <f>IFERROR(INDEX('02_能力差距自评'!$F$2:$F$311,MATCH(ROWS($D$2:D200),'02_能力差距自评'!$W$2:$W$311,0)),"")</f>
        <v/>
      </c>
      <c r="E200" s="8" t="str">
        <f>IF($D200="","",INDEX('02_能力差距自评'!$G:$G,MATCH($D200,'02_能力差距自评'!$F:$F,0)))</f>
        <v/>
      </c>
      <c r="F200" s="8" t="str">
        <f>IF($D200="","",INDEX('02_能力差距自评'!$C:$C,MATCH($D200,'02_能力差距自评'!$F:$F,0)))</f>
        <v/>
      </c>
      <c r="G200" s="8" t="str">
        <f>IF($D200="","",INDEX('02_能力差距自评'!$E:$E,MATCH($D200,'02_能力差距自评'!$F:$F,0)))</f>
        <v/>
      </c>
      <c r="H200" s="8" t="str">
        <f>IF($D200="","",INDEX('02_能力差距自评'!$L:$L,MATCH($D200,'02_能力差距自评'!$F:$F,0)))</f>
        <v/>
      </c>
      <c r="I200" s="8" t="str">
        <f>IF($D200="","",INDEX('02_能力差距自评'!$M:$M,MATCH($D200,'02_能力差距自评'!$F:$F,0)))</f>
        <v/>
      </c>
      <c r="J200" s="8" t="str">
        <f>IF($D200="","",INDEX('02_能力差距自评'!$N:$N,MATCH($D200,'02_能力差距自评'!$F:$F,0)))</f>
        <v/>
      </c>
      <c r="K200" s="8" t="str">
        <f>IF($D200="","",INDEX('02_能力差距自评'!$O:$O,MATCH($D200,'02_能力差距自评'!$F:$F,0)))</f>
        <v/>
      </c>
      <c r="L200" s="8" t="str">
        <f>IF($D200="","",INDEX('02_能力差距自评'!$I:$I,MATCH($D200,'02_能力差距自评'!$F:$F,0)))</f>
        <v/>
      </c>
      <c r="M200" s="8" t="str">
        <f t="shared" si="6"/>
        <v/>
      </c>
      <c r="N200" s="8" t="str">
        <f>IF($D200="","",INDEX('02_能力差距自评'!$J:$J,MATCH($D200,'02_能力差距自评'!$F:$F,0)))</f>
        <v/>
      </c>
      <c r="O200" s="8" t="str">
        <f>IF($D200="","",INDEX('02_能力差距自评'!$K:$K,MATCH($D200,'02_能力差距自评'!$F:$F,0)))</f>
        <v/>
      </c>
      <c r="P200" s="8"/>
      <c r="Q200" s="8"/>
      <c r="R200" s="8"/>
      <c r="S200" s="8" t="str">
        <f t="shared" si="7"/>
        <v/>
      </c>
      <c r="T200" s="8"/>
      <c r="U200" s="8"/>
      <c r="V200" s="8"/>
    </row>
    <row r="201" spans="1:22">
      <c r="A201" s="8" t="str">
        <f>IF($D201="","","LP"&amp;TEXT(ROWS($A$2:A201),"000"))</f>
        <v/>
      </c>
      <c r="B201" s="8" t="str">
        <f>IF($D201="","",IFERROR(INDEX('02_能力差距自评'!$Q:$Q,MATCH($D201,'02_能力差距自评'!$F:$F,0)),""))</f>
        <v/>
      </c>
      <c r="C201" s="8" t="str">
        <f>IF($D201="","",IFERROR(INDEX('02_能力差距自评'!$R:$R,MATCH($D201,'02_能力差距自评'!$F:$F,0)),""))</f>
        <v/>
      </c>
      <c r="D201" s="8" t="str">
        <f>IFERROR(INDEX('02_能力差距自评'!$F$2:$F$311,MATCH(ROWS($D$2:D201),'02_能力差距自评'!$W$2:$W$311,0)),"")</f>
        <v/>
      </c>
      <c r="E201" s="8" t="str">
        <f>IF($D201="","",INDEX('02_能力差距自评'!$G:$G,MATCH($D201,'02_能力差距自评'!$F:$F,0)))</f>
        <v/>
      </c>
      <c r="F201" s="8" t="str">
        <f>IF($D201="","",INDEX('02_能力差距自评'!$C:$C,MATCH($D201,'02_能力差距自评'!$F:$F,0)))</f>
        <v/>
      </c>
      <c r="G201" s="8" t="str">
        <f>IF($D201="","",INDEX('02_能力差距自评'!$E:$E,MATCH($D201,'02_能力差距自评'!$F:$F,0)))</f>
        <v/>
      </c>
      <c r="H201" s="8" t="str">
        <f>IF($D201="","",INDEX('02_能力差距自评'!$L:$L,MATCH($D201,'02_能力差距自评'!$F:$F,0)))</f>
        <v/>
      </c>
      <c r="I201" s="8" t="str">
        <f>IF($D201="","",INDEX('02_能力差距自评'!$M:$M,MATCH($D201,'02_能力差距自评'!$F:$F,0)))</f>
        <v/>
      </c>
      <c r="J201" s="8" t="str">
        <f>IF($D201="","",INDEX('02_能力差距自评'!$N:$N,MATCH($D201,'02_能力差距自评'!$F:$F,0)))</f>
        <v/>
      </c>
      <c r="K201" s="8" t="str">
        <f>IF($D201="","",INDEX('02_能力差距自评'!$O:$O,MATCH($D201,'02_能力差距自评'!$F:$F,0)))</f>
        <v/>
      </c>
      <c r="L201" s="8" t="str">
        <f>IF($D201="","",INDEX('02_能力差距自评'!$I:$I,MATCH($D201,'02_能力差距自评'!$F:$F,0)))</f>
        <v/>
      </c>
      <c r="M201" s="8" t="str">
        <f t="shared" si="6"/>
        <v/>
      </c>
      <c r="N201" s="8" t="str">
        <f>IF($D201="","",INDEX('02_能力差距自评'!$J:$J,MATCH($D201,'02_能力差距自评'!$F:$F,0)))</f>
        <v/>
      </c>
      <c r="O201" s="8" t="str">
        <f>IF($D201="","",INDEX('02_能力差距自评'!$K:$K,MATCH($D201,'02_能力差距自评'!$F:$F,0)))</f>
        <v/>
      </c>
      <c r="P201" s="8"/>
      <c r="Q201" s="8"/>
      <c r="R201" s="8"/>
      <c r="S201" s="8" t="str">
        <f t="shared" si="7"/>
        <v/>
      </c>
      <c r="T201" s="8"/>
      <c r="U201" s="8"/>
      <c r="V201" s="8"/>
    </row>
    <row r="202" spans="1:22">
      <c r="A202" s="8" t="str">
        <f>IF($D202="","","LP"&amp;TEXT(ROWS($A$2:A202),"000"))</f>
        <v/>
      </c>
      <c r="B202" s="8" t="str">
        <f>IF($D202="","",IFERROR(INDEX('02_能力差距自评'!$Q:$Q,MATCH($D202,'02_能力差距自评'!$F:$F,0)),""))</f>
        <v/>
      </c>
      <c r="C202" s="8" t="str">
        <f>IF($D202="","",IFERROR(INDEX('02_能力差距自评'!$R:$R,MATCH($D202,'02_能力差距自评'!$F:$F,0)),""))</f>
        <v/>
      </c>
      <c r="D202" s="8" t="str">
        <f>IFERROR(INDEX('02_能力差距自评'!$F$2:$F$311,MATCH(ROWS($D$2:D202),'02_能力差距自评'!$W$2:$W$311,0)),"")</f>
        <v/>
      </c>
      <c r="E202" s="8" t="str">
        <f>IF($D202="","",INDEX('02_能力差距自评'!$G:$G,MATCH($D202,'02_能力差距自评'!$F:$F,0)))</f>
        <v/>
      </c>
      <c r="F202" s="8" t="str">
        <f>IF($D202="","",INDEX('02_能力差距自评'!$C:$C,MATCH($D202,'02_能力差距自评'!$F:$F,0)))</f>
        <v/>
      </c>
      <c r="G202" s="8" t="str">
        <f>IF($D202="","",INDEX('02_能力差距自评'!$E:$E,MATCH($D202,'02_能力差距自评'!$F:$F,0)))</f>
        <v/>
      </c>
      <c r="H202" s="8" t="str">
        <f>IF($D202="","",INDEX('02_能力差距自评'!$L:$L,MATCH($D202,'02_能力差距自评'!$F:$F,0)))</f>
        <v/>
      </c>
      <c r="I202" s="8" t="str">
        <f>IF($D202="","",INDEX('02_能力差距自评'!$M:$M,MATCH($D202,'02_能力差距自评'!$F:$F,0)))</f>
        <v/>
      </c>
      <c r="J202" s="8" t="str">
        <f>IF($D202="","",INDEX('02_能力差距自评'!$N:$N,MATCH($D202,'02_能力差距自评'!$F:$F,0)))</f>
        <v/>
      </c>
      <c r="K202" s="8" t="str">
        <f>IF($D202="","",INDEX('02_能力差距自评'!$O:$O,MATCH($D202,'02_能力差距自评'!$F:$F,0)))</f>
        <v/>
      </c>
      <c r="L202" s="8" t="str">
        <f>IF($D202="","",INDEX('02_能力差距自评'!$I:$I,MATCH($D202,'02_能力差距自评'!$F:$F,0)))</f>
        <v/>
      </c>
      <c r="M202" s="8" t="str">
        <f t="shared" si="6"/>
        <v/>
      </c>
      <c r="N202" s="8" t="str">
        <f>IF($D202="","",INDEX('02_能力差距自评'!$J:$J,MATCH($D202,'02_能力差距自评'!$F:$F,0)))</f>
        <v/>
      </c>
      <c r="O202" s="8" t="str">
        <f>IF($D202="","",INDEX('02_能力差距自评'!$K:$K,MATCH($D202,'02_能力差距自评'!$F:$F,0)))</f>
        <v/>
      </c>
      <c r="P202" s="8"/>
      <c r="Q202" s="8"/>
      <c r="R202" s="8"/>
      <c r="S202" s="8" t="str">
        <f t="shared" si="7"/>
        <v/>
      </c>
      <c r="T202" s="8"/>
      <c r="U202" s="8"/>
      <c r="V202" s="8"/>
    </row>
    <row r="203" spans="1:22">
      <c r="A203" s="8" t="str">
        <f>IF($D203="","","LP"&amp;TEXT(ROWS($A$2:A203),"000"))</f>
        <v/>
      </c>
      <c r="B203" s="8" t="str">
        <f>IF($D203="","",IFERROR(INDEX('02_能力差距自评'!$Q:$Q,MATCH($D203,'02_能力差距自评'!$F:$F,0)),""))</f>
        <v/>
      </c>
      <c r="C203" s="8" t="str">
        <f>IF($D203="","",IFERROR(INDEX('02_能力差距自评'!$R:$R,MATCH($D203,'02_能力差距自评'!$F:$F,0)),""))</f>
        <v/>
      </c>
      <c r="D203" s="8" t="str">
        <f>IFERROR(INDEX('02_能力差距自评'!$F$2:$F$311,MATCH(ROWS($D$2:D203),'02_能力差距自评'!$W$2:$W$311,0)),"")</f>
        <v/>
      </c>
      <c r="E203" s="8" t="str">
        <f>IF($D203="","",INDEX('02_能力差距自评'!$G:$G,MATCH($D203,'02_能力差距自评'!$F:$F,0)))</f>
        <v/>
      </c>
      <c r="F203" s="8" t="str">
        <f>IF($D203="","",INDEX('02_能力差距自评'!$C:$C,MATCH($D203,'02_能力差距自评'!$F:$F,0)))</f>
        <v/>
      </c>
      <c r="G203" s="8" t="str">
        <f>IF($D203="","",INDEX('02_能力差距自评'!$E:$E,MATCH($D203,'02_能力差距自评'!$F:$F,0)))</f>
        <v/>
      </c>
      <c r="H203" s="8" t="str">
        <f>IF($D203="","",INDEX('02_能力差距自评'!$L:$L,MATCH($D203,'02_能力差距自评'!$F:$F,0)))</f>
        <v/>
      </c>
      <c r="I203" s="8" t="str">
        <f>IF($D203="","",INDEX('02_能力差距自评'!$M:$M,MATCH($D203,'02_能力差距自评'!$F:$F,0)))</f>
        <v/>
      </c>
      <c r="J203" s="8" t="str">
        <f>IF($D203="","",INDEX('02_能力差距自评'!$N:$N,MATCH($D203,'02_能力差距自评'!$F:$F,0)))</f>
        <v/>
      </c>
      <c r="K203" s="8" t="str">
        <f>IF($D203="","",INDEX('02_能力差距自评'!$O:$O,MATCH($D203,'02_能力差距自评'!$F:$F,0)))</f>
        <v/>
      </c>
      <c r="L203" s="8" t="str">
        <f>IF($D203="","",INDEX('02_能力差距自评'!$I:$I,MATCH($D203,'02_能力差距自评'!$F:$F,0)))</f>
        <v/>
      </c>
      <c r="M203" s="8" t="str">
        <f t="shared" si="6"/>
        <v/>
      </c>
      <c r="N203" s="8" t="str">
        <f>IF($D203="","",INDEX('02_能力差距自评'!$J:$J,MATCH($D203,'02_能力差距自评'!$F:$F,0)))</f>
        <v/>
      </c>
      <c r="O203" s="8" t="str">
        <f>IF($D203="","",INDEX('02_能力差距自评'!$K:$K,MATCH($D203,'02_能力差距自评'!$F:$F,0)))</f>
        <v/>
      </c>
      <c r="P203" s="8"/>
      <c r="Q203" s="8"/>
      <c r="R203" s="8"/>
      <c r="S203" s="8" t="str">
        <f t="shared" si="7"/>
        <v/>
      </c>
      <c r="T203" s="8"/>
      <c r="U203" s="8"/>
      <c r="V203" s="8"/>
    </row>
    <row r="204" spans="1:22">
      <c r="A204" s="8" t="str">
        <f>IF($D204="","","LP"&amp;TEXT(ROWS($A$2:A204),"000"))</f>
        <v/>
      </c>
      <c r="B204" s="8" t="str">
        <f>IF($D204="","",IFERROR(INDEX('02_能力差距自评'!$Q:$Q,MATCH($D204,'02_能力差距自评'!$F:$F,0)),""))</f>
        <v/>
      </c>
      <c r="C204" s="8" t="str">
        <f>IF($D204="","",IFERROR(INDEX('02_能力差距自评'!$R:$R,MATCH($D204,'02_能力差距自评'!$F:$F,0)),""))</f>
        <v/>
      </c>
      <c r="D204" s="8" t="str">
        <f>IFERROR(INDEX('02_能力差距自评'!$F$2:$F$311,MATCH(ROWS($D$2:D204),'02_能力差距自评'!$W$2:$W$311,0)),"")</f>
        <v/>
      </c>
      <c r="E204" s="8" t="str">
        <f>IF($D204="","",INDEX('02_能力差距自评'!$G:$G,MATCH($D204,'02_能力差距自评'!$F:$F,0)))</f>
        <v/>
      </c>
      <c r="F204" s="8" t="str">
        <f>IF($D204="","",INDEX('02_能力差距自评'!$C:$C,MATCH($D204,'02_能力差距自评'!$F:$F,0)))</f>
        <v/>
      </c>
      <c r="G204" s="8" t="str">
        <f>IF($D204="","",INDEX('02_能力差距自评'!$E:$E,MATCH($D204,'02_能力差距自评'!$F:$F,0)))</f>
        <v/>
      </c>
      <c r="H204" s="8" t="str">
        <f>IF($D204="","",INDEX('02_能力差距自评'!$L:$L,MATCH($D204,'02_能力差距自评'!$F:$F,0)))</f>
        <v/>
      </c>
      <c r="I204" s="8" t="str">
        <f>IF($D204="","",INDEX('02_能力差距自评'!$M:$M,MATCH($D204,'02_能力差距自评'!$F:$F,0)))</f>
        <v/>
      </c>
      <c r="J204" s="8" t="str">
        <f>IF($D204="","",INDEX('02_能力差距自评'!$N:$N,MATCH($D204,'02_能力差距自评'!$F:$F,0)))</f>
        <v/>
      </c>
      <c r="K204" s="8" t="str">
        <f>IF($D204="","",INDEX('02_能力差距自评'!$O:$O,MATCH($D204,'02_能力差距自评'!$F:$F,0)))</f>
        <v/>
      </c>
      <c r="L204" s="8" t="str">
        <f>IF($D204="","",INDEX('02_能力差距自评'!$I:$I,MATCH($D204,'02_能力差距自评'!$F:$F,0)))</f>
        <v/>
      </c>
      <c r="M204" s="8" t="str">
        <f t="shared" si="6"/>
        <v/>
      </c>
      <c r="N204" s="8" t="str">
        <f>IF($D204="","",INDEX('02_能力差距自评'!$J:$J,MATCH($D204,'02_能力差距自评'!$F:$F,0)))</f>
        <v/>
      </c>
      <c r="O204" s="8" t="str">
        <f>IF($D204="","",INDEX('02_能力差距自评'!$K:$K,MATCH($D204,'02_能力差距自评'!$F:$F,0)))</f>
        <v/>
      </c>
      <c r="P204" s="8"/>
      <c r="Q204" s="8"/>
      <c r="R204" s="8"/>
      <c r="S204" s="8" t="str">
        <f t="shared" si="7"/>
        <v/>
      </c>
      <c r="T204" s="8"/>
      <c r="U204" s="8"/>
      <c r="V204" s="8"/>
    </row>
    <row r="205" spans="1:22">
      <c r="A205" s="8" t="str">
        <f>IF($D205="","","LP"&amp;TEXT(ROWS($A$2:A205),"000"))</f>
        <v/>
      </c>
      <c r="B205" s="8" t="str">
        <f>IF($D205="","",IFERROR(INDEX('02_能力差距自评'!$Q:$Q,MATCH($D205,'02_能力差距自评'!$F:$F,0)),""))</f>
        <v/>
      </c>
      <c r="C205" s="8" t="str">
        <f>IF($D205="","",IFERROR(INDEX('02_能力差距自评'!$R:$R,MATCH($D205,'02_能力差距自评'!$F:$F,0)),""))</f>
        <v/>
      </c>
      <c r="D205" s="8" t="str">
        <f>IFERROR(INDEX('02_能力差距自评'!$F$2:$F$311,MATCH(ROWS($D$2:D205),'02_能力差距自评'!$W$2:$W$311,0)),"")</f>
        <v/>
      </c>
      <c r="E205" s="8" t="str">
        <f>IF($D205="","",INDEX('02_能力差距自评'!$G:$G,MATCH($D205,'02_能力差距自评'!$F:$F,0)))</f>
        <v/>
      </c>
      <c r="F205" s="8" t="str">
        <f>IF($D205="","",INDEX('02_能力差距自评'!$C:$C,MATCH($D205,'02_能力差距自评'!$F:$F,0)))</f>
        <v/>
      </c>
      <c r="G205" s="8" t="str">
        <f>IF($D205="","",INDEX('02_能力差距自评'!$E:$E,MATCH($D205,'02_能力差距自评'!$F:$F,0)))</f>
        <v/>
      </c>
      <c r="H205" s="8" t="str">
        <f>IF($D205="","",INDEX('02_能力差距自评'!$L:$L,MATCH($D205,'02_能力差距自评'!$F:$F,0)))</f>
        <v/>
      </c>
      <c r="I205" s="8" t="str">
        <f>IF($D205="","",INDEX('02_能力差距自评'!$M:$M,MATCH($D205,'02_能力差距自评'!$F:$F,0)))</f>
        <v/>
      </c>
      <c r="J205" s="8" t="str">
        <f>IF($D205="","",INDEX('02_能力差距自评'!$N:$N,MATCH($D205,'02_能力差距自评'!$F:$F,0)))</f>
        <v/>
      </c>
      <c r="K205" s="8" t="str">
        <f>IF($D205="","",INDEX('02_能力差距自评'!$O:$O,MATCH($D205,'02_能力差距自评'!$F:$F,0)))</f>
        <v/>
      </c>
      <c r="L205" s="8" t="str">
        <f>IF($D205="","",INDEX('02_能力差距自评'!$I:$I,MATCH($D205,'02_能力差距自评'!$F:$F,0)))</f>
        <v/>
      </c>
      <c r="M205" s="8" t="str">
        <f t="shared" si="6"/>
        <v/>
      </c>
      <c r="N205" s="8" t="str">
        <f>IF($D205="","",INDEX('02_能力差距自评'!$J:$J,MATCH($D205,'02_能力差距自评'!$F:$F,0)))</f>
        <v/>
      </c>
      <c r="O205" s="8" t="str">
        <f>IF($D205="","",INDEX('02_能力差距自评'!$K:$K,MATCH($D205,'02_能力差距自评'!$F:$F,0)))</f>
        <v/>
      </c>
      <c r="P205" s="8"/>
      <c r="Q205" s="8"/>
      <c r="R205" s="8"/>
      <c r="S205" s="8" t="str">
        <f t="shared" si="7"/>
        <v/>
      </c>
      <c r="T205" s="8"/>
      <c r="U205" s="8"/>
      <c r="V205" s="8"/>
    </row>
    <row r="206" spans="1:22">
      <c r="A206" s="8" t="str">
        <f>IF($D206="","","LP"&amp;TEXT(ROWS($A$2:A206),"000"))</f>
        <v/>
      </c>
      <c r="B206" s="8" t="str">
        <f>IF($D206="","",IFERROR(INDEX('02_能力差距自评'!$Q:$Q,MATCH($D206,'02_能力差距自评'!$F:$F,0)),""))</f>
        <v/>
      </c>
      <c r="C206" s="8" t="str">
        <f>IF($D206="","",IFERROR(INDEX('02_能力差距自评'!$R:$R,MATCH($D206,'02_能力差距自评'!$F:$F,0)),""))</f>
        <v/>
      </c>
      <c r="D206" s="8" t="str">
        <f>IFERROR(INDEX('02_能力差距自评'!$F$2:$F$311,MATCH(ROWS($D$2:D206),'02_能力差距自评'!$W$2:$W$311,0)),"")</f>
        <v/>
      </c>
      <c r="E206" s="8" t="str">
        <f>IF($D206="","",INDEX('02_能力差距自评'!$G:$G,MATCH($D206,'02_能力差距自评'!$F:$F,0)))</f>
        <v/>
      </c>
      <c r="F206" s="8" t="str">
        <f>IF($D206="","",INDEX('02_能力差距自评'!$C:$C,MATCH($D206,'02_能力差距自评'!$F:$F,0)))</f>
        <v/>
      </c>
      <c r="G206" s="8" t="str">
        <f>IF($D206="","",INDEX('02_能力差距自评'!$E:$E,MATCH($D206,'02_能力差距自评'!$F:$F,0)))</f>
        <v/>
      </c>
      <c r="H206" s="8" t="str">
        <f>IF($D206="","",INDEX('02_能力差距自评'!$L:$L,MATCH($D206,'02_能力差距自评'!$F:$F,0)))</f>
        <v/>
      </c>
      <c r="I206" s="8" t="str">
        <f>IF($D206="","",INDEX('02_能力差距自评'!$M:$M,MATCH($D206,'02_能力差距自评'!$F:$F,0)))</f>
        <v/>
      </c>
      <c r="J206" s="8" t="str">
        <f>IF($D206="","",INDEX('02_能力差距自评'!$N:$N,MATCH($D206,'02_能力差距自评'!$F:$F,0)))</f>
        <v/>
      </c>
      <c r="K206" s="8" t="str">
        <f>IF($D206="","",INDEX('02_能力差距自评'!$O:$O,MATCH($D206,'02_能力差距自评'!$F:$F,0)))</f>
        <v/>
      </c>
      <c r="L206" s="8" t="str">
        <f>IF($D206="","",INDEX('02_能力差距自评'!$I:$I,MATCH($D206,'02_能力差距自评'!$F:$F,0)))</f>
        <v/>
      </c>
      <c r="M206" s="8" t="str">
        <f t="shared" si="6"/>
        <v/>
      </c>
      <c r="N206" s="8" t="str">
        <f>IF($D206="","",INDEX('02_能力差距自评'!$J:$J,MATCH($D206,'02_能力差距自评'!$F:$F,0)))</f>
        <v/>
      </c>
      <c r="O206" s="8" t="str">
        <f>IF($D206="","",INDEX('02_能力差距自评'!$K:$K,MATCH($D206,'02_能力差距自评'!$F:$F,0)))</f>
        <v/>
      </c>
      <c r="P206" s="8"/>
      <c r="Q206" s="8"/>
      <c r="R206" s="8"/>
      <c r="S206" s="8" t="str">
        <f t="shared" si="7"/>
        <v/>
      </c>
      <c r="T206" s="8"/>
      <c r="U206" s="8"/>
      <c r="V206" s="8"/>
    </row>
    <row r="207" spans="1:22">
      <c r="A207" s="8" t="str">
        <f>IF($D207="","","LP"&amp;TEXT(ROWS($A$2:A207),"000"))</f>
        <v/>
      </c>
      <c r="B207" s="8" t="str">
        <f>IF($D207="","",IFERROR(INDEX('02_能力差距自评'!$Q:$Q,MATCH($D207,'02_能力差距自评'!$F:$F,0)),""))</f>
        <v/>
      </c>
      <c r="C207" s="8" t="str">
        <f>IF($D207="","",IFERROR(INDEX('02_能力差距自评'!$R:$R,MATCH($D207,'02_能力差距自评'!$F:$F,0)),""))</f>
        <v/>
      </c>
      <c r="D207" s="8" t="str">
        <f>IFERROR(INDEX('02_能力差距自评'!$F$2:$F$311,MATCH(ROWS($D$2:D207),'02_能力差距自评'!$W$2:$W$311,0)),"")</f>
        <v/>
      </c>
      <c r="E207" s="8" t="str">
        <f>IF($D207="","",INDEX('02_能力差距自评'!$G:$G,MATCH($D207,'02_能力差距自评'!$F:$F,0)))</f>
        <v/>
      </c>
      <c r="F207" s="8" t="str">
        <f>IF($D207="","",INDEX('02_能力差距自评'!$C:$C,MATCH($D207,'02_能力差距自评'!$F:$F,0)))</f>
        <v/>
      </c>
      <c r="G207" s="8" t="str">
        <f>IF($D207="","",INDEX('02_能力差距自评'!$E:$E,MATCH($D207,'02_能力差距自评'!$F:$F,0)))</f>
        <v/>
      </c>
      <c r="H207" s="8" t="str">
        <f>IF($D207="","",INDEX('02_能力差距自评'!$L:$L,MATCH($D207,'02_能力差距自评'!$F:$F,0)))</f>
        <v/>
      </c>
      <c r="I207" s="8" t="str">
        <f>IF($D207="","",INDEX('02_能力差距自评'!$M:$M,MATCH($D207,'02_能力差距自评'!$F:$F,0)))</f>
        <v/>
      </c>
      <c r="J207" s="8" t="str">
        <f>IF($D207="","",INDEX('02_能力差距自评'!$N:$N,MATCH($D207,'02_能力差距自评'!$F:$F,0)))</f>
        <v/>
      </c>
      <c r="K207" s="8" t="str">
        <f>IF($D207="","",INDEX('02_能力差距自评'!$O:$O,MATCH($D207,'02_能力差距自评'!$F:$F,0)))</f>
        <v/>
      </c>
      <c r="L207" s="8" t="str">
        <f>IF($D207="","",INDEX('02_能力差距自评'!$I:$I,MATCH($D207,'02_能力差距自评'!$F:$F,0)))</f>
        <v/>
      </c>
      <c r="M207" s="8" t="str">
        <f t="shared" si="6"/>
        <v/>
      </c>
      <c r="N207" s="8" t="str">
        <f>IF($D207="","",INDEX('02_能力差距自评'!$J:$J,MATCH($D207,'02_能力差距自评'!$F:$F,0)))</f>
        <v/>
      </c>
      <c r="O207" s="8" t="str">
        <f>IF($D207="","",INDEX('02_能力差距自评'!$K:$K,MATCH($D207,'02_能力差距自评'!$F:$F,0)))</f>
        <v/>
      </c>
      <c r="P207" s="8"/>
      <c r="Q207" s="8"/>
      <c r="R207" s="8"/>
      <c r="S207" s="8" t="str">
        <f t="shared" si="7"/>
        <v/>
      </c>
      <c r="T207" s="8"/>
      <c r="U207" s="8"/>
      <c r="V207" s="8"/>
    </row>
    <row r="208" spans="1:22">
      <c r="A208" s="8" t="str">
        <f>IF($D208="","","LP"&amp;TEXT(ROWS($A$2:A208),"000"))</f>
        <v/>
      </c>
      <c r="B208" s="8" t="str">
        <f>IF($D208="","",IFERROR(INDEX('02_能力差距自评'!$Q:$Q,MATCH($D208,'02_能力差距自评'!$F:$F,0)),""))</f>
        <v/>
      </c>
      <c r="C208" s="8" t="str">
        <f>IF($D208="","",IFERROR(INDEX('02_能力差距自评'!$R:$R,MATCH($D208,'02_能力差距自评'!$F:$F,0)),""))</f>
        <v/>
      </c>
      <c r="D208" s="8" t="str">
        <f>IFERROR(INDEX('02_能力差距自评'!$F$2:$F$311,MATCH(ROWS($D$2:D208),'02_能力差距自评'!$W$2:$W$311,0)),"")</f>
        <v/>
      </c>
      <c r="E208" s="8" t="str">
        <f>IF($D208="","",INDEX('02_能力差距自评'!$G:$G,MATCH($D208,'02_能力差距自评'!$F:$F,0)))</f>
        <v/>
      </c>
      <c r="F208" s="8" t="str">
        <f>IF($D208="","",INDEX('02_能力差距自评'!$C:$C,MATCH($D208,'02_能力差距自评'!$F:$F,0)))</f>
        <v/>
      </c>
      <c r="G208" s="8" t="str">
        <f>IF($D208="","",INDEX('02_能力差距自评'!$E:$E,MATCH($D208,'02_能力差距自评'!$F:$F,0)))</f>
        <v/>
      </c>
      <c r="H208" s="8" t="str">
        <f>IF($D208="","",INDEX('02_能力差距自评'!$L:$L,MATCH($D208,'02_能力差距自评'!$F:$F,0)))</f>
        <v/>
      </c>
      <c r="I208" s="8" t="str">
        <f>IF($D208="","",INDEX('02_能力差距自评'!$M:$M,MATCH($D208,'02_能力差距自评'!$F:$F,0)))</f>
        <v/>
      </c>
      <c r="J208" s="8" t="str">
        <f>IF($D208="","",INDEX('02_能力差距自评'!$N:$N,MATCH($D208,'02_能力差距自评'!$F:$F,0)))</f>
        <v/>
      </c>
      <c r="K208" s="8" t="str">
        <f>IF($D208="","",INDEX('02_能力差距自评'!$O:$O,MATCH($D208,'02_能力差距自评'!$F:$F,0)))</f>
        <v/>
      </c>
      <c r="L208" s="8" t="str">
        <f>IF($D208="","",INDEX('02_能力差距自评'!$I:$I,MATCH($D208,'02_能力差距自评'!$F:$F,0)))</f>
        <v/>
      </c>
      <c r="M208" s="8" t="str">
        <f t="shared" si="6"/>
        <v/>
      </c>
      <c r="N208" s="8" t="str">
        <f>IF($D208="","",INDEX('02_能力差距自评'!$J:$J,MATCH($D208,'02_能力差距自评'!$F:$F,0)))</f>
        <v/>
      </c>
      <c r="O208" s="8" t="str">
        <f>IF($D208="","",INDEX('02_能力差距自评'!$K:$K,MATCH($D208,'02_能力差距自评'!$F:$F,0)))</f>
        <v/>
      </c>
      <c r="P208" s="8"/>
      <c r="Q208" s="8"/>
      <c r="R208" s="8"/>
      <c r="S208" s="8" t="str">
        <f t="shared" si="7"/>
        <v/>
      </c>
      <c r="T208" s="8"/>
      <c r="U208" s="8"/>
      <c r="V208" s="8"/>
    </row>
    <row r="209" spans="1:22">
      <c r="A209" s="8" t="str">
        <f>IF($D209="","","LP"&amp;TEXT(ROWS($A$2:A209),"000"))</f>
        <v/>
      </c>
      <c r="B209" s="8" t="str">
        <f>IF($D209="","",IFERROR(INDEX('02_能力差距自评'!$Q:$Q,MATCH($D209,'02_能力差距自评'!$F:$F,0)),""))</f>
        <v/>
      </c>
      <c r="C209" s="8" t="str">
        <f>IF($D209="","",IFERROR(INDEX('02_能力差距自评'!$R:$R,MATCH($D209,'02_能力差距自评'!$F:$F,0)),""))</f>
        <v/>
      </c>
      <c r="D209" s="8" t="str">
        <f>IFERROR(INDEX('02_能力差距自评'!$F$2:$F$311,MATCH(ROWS($D$2:D209),'02_能力差距自评'!$W$2:$W$311,0)),"")</f>
        <v/>
      </c>
      <c r="E209" s="8" t="str">
        <f>IF($D209="","",INDEX('02_能力差距自评'!$G:$G,MATCH($D209,'02_能力差距自评'!$F:$F,0)))</f>
        <v/>
      </c>
      <c r="F209" s="8" t="str">
        <f>IF($D209="","",INDEX('02_能力差距自评'!$C:$C,MATCH($D209,'02_能力差距自评'!$F:$F,0)))</f>
        <v/>
      </c>
      <c r="G209" s="8" t="str">
        <f>IF($D209="","",INDEX('02_能力差距自评'!$E:$E,MATCH($D209,'02_能力差距自评'!$F:$F,0)))</f>
        <v/>
      </c>
      <c r="H209" s="8" t="str">
        <f>IF($D209="","",INDEX('02_能力差距自评'!$L:$L,MATCH($D209,'02_能力差距自评'!$F:$F,0)))</f>
        <v/>
      </c>
      <c r="I209" s="8" t="str">
        <f>IF($D209="","",INDEX('02_能力差距自评'!$M:$M,MATCH($D209,'02_能力差距自评'!$F:$F,0)))</f>
        <v/>
      </c>
      <c r="J209" s="8" t="str">
        <f>IF($D209="","",INDEX('02_能力差距自评'!$N:$N,MATCH($D209,'02_能力差距自评'!$F:$F,0)))</f>
        <v/>
      </c>
      <c r="K209" s="8" t="str">
        <f>IF($D209="","",INDEX('02_能力差距自评'!$O:$O,MATCH($D209,'02_能力差距自评'!$F:$F,0)))</f>
        <v/>
      </c>
      <c r="L209" s="8" t="str">
        <f>IF($D209="","",INDEX('02_能力差距自评'!$I:$I,MATCH($D209,'02_能力差距自评'!$F:$F,0)))</f>
        <v/>
      </c>
      <c r="M209" s="8" t="str">
        <f t="shared" si="6"/>
        <v/>
      </c>
      <c r="N209" s="8" t="str">
        <f>IF($D209="","",INDEX('02_能力差距自评'!$J:$J,MATCH($D209,'02_能力差距自评'!$F:$F,0)))</f>
        <v/>
      </c>
      <c r="O209" s="8" t="str">
        <f>IF($D209="","",INDEX('02_能力差距自评'!$K:$K,MATCH($D209,'02_能力差距自评'!$F:$F,0)))</f>
        <v/>
      </c>
      <c r="P209" s="8"/>
      <c r="Q209" s="8"/>
      <c r="R209" s="8"/>
      <c r="S209" s="8" t="str">
        <f t="shared" si="7"/>
        <v/>
      </c>
      <c r="T209" s="8"/>
      <c r="U209" s="8"/>
      <c r="V209" s="8"/>
    </row>
    <row r="210" spans="1:22">
      <c r="A210" s="8" t="str">
        <f>IF($D210="","","LP"&amp;TEXT(ROWS($A$2:A210),"000"))</f>
        <v/>
      </c>
      <c r="B210" s="8" t="str">
        <f>IF($D210="","",IFERROR(INDEX('02_能力差距自评'!$Q:$Q,MATCH($D210,'02_能力差距自评'!$F:$F,0)),""))</f>
        <v/>
      </c>
      <c r="C210" s="8" t="str">
        <f>IF($D210="","",IFERROR(INDEX('02_能力差距自评'!$R:$R,MATCH($D210,'02_能力差距自评'!$F:$F,0)),""))</f>
        <v/>
      </c>
      <c r="D210" s="8" t="str">
        <f>IFERROR(INDEX('02_能力差距自评'!$F$2:$F$311,MATCH(ROWS($D$2:D210),'02_能力差距自评'!$W$2:$W$311,0)),"")</f>
        <v/>
      </c>
      <c r="E210" s="8" t="str">
        <f>IF($D210="","",INDEX('02_能力差距自评'!$G:$G,MATCH($D210,'02_能力差距自评'!$F:$F,0)))</f>
        <v/>
      </c>
      <c r="F210" s="8" t="str">
        <f>IF($D210="","",INDEX('02_能力差距自评'!$C:$C,MATCH($D210,'02_能力差距自评'!$F:$F,0)))</f>
        <v/>
      </c>
      <c r="G210" s="8" t="str">
        <f>IF($D210="","",INDEX('02_能力差距自评'!$E:$E,MATCH($D210,'02_能力差距自评'!$F:$F,0)))</f>
        <v/>
      </c>
      <c r="H210" s="8" t="str">
        <f>IF($D210="","",INDEX('02_能力差距自评'!$L:$L,MATCH($D210,'02_能力差距自评'!$F:$F,0)))</f>
        <v/>
      </c>
      <c r="I210" s="8" t="str">
        <f>IF($D210="","",INDEX('02_能力差距自评'!$M:$M,MATCH($D210,'02_能力差距自评'!$F:$F,0)))</f>
        <v/>
      </c>
      <c r="J210" s="8" t="str">
        <f>IF($D210="","",INDEX('02_能力差距自评'!$N:$N,MATCH($D210,'02_能力差距自评'!$F:$F,0)))</f>
        <v/>
      </c>
      <c r="K210" s="8" t="str">
        <f>IF($D210="","",INDEX('02_能力差距自评'!$O:$O,MATCH($D210,'02_能力差距自评'!$F:$F,0)))</f>
        <v/>
      </c>
      <c r="L210" s="8" t="str">
        <f>IF($D210="","",INDEX('02_能力差距自评'!$I:$I,MATCH($D210,'02_能力差距自评'!$F:$F,0)))</f>
        <v/>
      </c>
      <c r="M210" s="8" t="str">
        <f t="shared" si="6"/>
        <v/>
      </c>
      <c r="N210" s="8" t="str">
        <f>IF($D210="","",INDEX('02_能力差距自评'!$J:$J,MATCH($D210,'02_能力差距自评'!$F:$F,0)))</f>
        <v/>
      </c>
      <c r="O210" s="8" t="str">
        <f>IF($D210="","",INDEX('02_能力差距自评'!$K:$K,MATCH($D210,'02_能力差距自评'!$F:$F,0)))</f>
        <v/>
      </c>
      <c r="P210" s="8"/>
      <c r="Q210" s="8"/>
      <c r="R210" s="8"/>
      <c r="S210" s="8" t="str">
        <f t="shared" si="7"/>
        <v/>
      </c>
      <c r="T210" s="8"/>
      <c r="U210" s="8"/>
      <c r="V210" s="8"/>
    </row>
    <row r="211" spans="1:22">
      <c r="A211" s="8" t="str">
        <f>IF($D211="","","LP"&amp;TEXT(ROWS($A$2:A211),"000"))</f>
        <v/>
      </c>
      <c r="B211" s="8" t="str">
        <f>IF($D211="","",IFERROR(INDEX('02_能力差距自评'!$Q:$Q,MATCH($D211,'02_能力差距自评'!$F:$F,0)),""))</f>
        <v/>
      </c>
      <c r="C211" s="8" t="str">
        <f>IF($D211="","",IFERROR(INDEX('02_能力差距自评'!$R:$R,MATCH($D211,'02_能力差距自评'!$F:$F,0)),""))</f>
        <v/>
      </c>
      <c r="D211" s="8" t="str">
        <f>IFERROR(INDEX('02_能力差距自评'!$F$2:$F$311,MATCH(ROWS($D$2:D211),'02_能力差距自评'!$W$2:$W$311,0)),"")</f>
        <v/>
      </c>
      <c r="E211" s="8" t="str">
        <f>IF($D211="","",INDEX('02_能力差距自评'!$G:$G,MATCH($D211,'02_能力差距自评'!$F:$F,0)))</f>
        <v/>
      </c>
      <c r="F211" s="8" t="str">
        <f>IF($D211="","",INDEX('02_能力差距自评'!$C:$C,MATCH($D211,'02_能力差距自评'!$F:$F,0)))</f>
        <v/>
      </c>
      <c r="G211" s="8" t="str">
        <f>IF($D211="","",INDEX('02_能力差距自评'!$E:$E,MATCH($D211,'02_能力差距自评'!$F:$F,0)))</f>
        <v/>
      </c>
      <c r="H211" s="8" t="str">
        <f>IF($D211="","",INDEX('02_能力差距自评'!$L:$L,MATCH($D211,'02_能力差距自评'!$F:$F,0)))</f>
        <v/>
      </c>
      <c r="I211" s="8" t="str">
        <f>IF($D211="","",INDEX('02_能力差距自评'!$M:$M,MATCH($D211,'02_能力差距自评'!$F:$F,0)))</f>
        <v/>
      </c>
      <c r="J211" s="8" t="str">
        <f>IF($D211="","",INDEX('02_能力差距自评'!$N:$N,MATCH($D211,'02_能力差距自评'!$F:$F,0)))</f>
        <v/>
      </c>
      <c r="K211" s="8" t="str">
        <f>IF($D211="","",INDEX('02_能力差距自评'!$O:$O,MATCH($D211,'02_能力差距自评'!$F:$F,0)))</f>
        <v/>
      </c>
      <c r="L211" s="8" t="str">
        <f>IF($D211="","",INDEX('02_能力差距自评'!$I:$I,MATCH($D211,'02_能力差距自评'!$F:$F,0)))</f>
        <v/>
      </c>
      <c r="M211" s="8" t="str">
        <f t="shared" si="6"/>
        <v/>
      </c>
      <c r="N211" s="8" t="str">
        <f>IF($D211="","",INDEX('02_能力差距自评'!$J:$J,MATCH($D211,'02_能力差距自评'!$F:$F,0)))</f>
        <v/>
      </c>
      <c r="O211" s="8" t="str">
        <f>IF($D211="","",INDEX('02_能力差距自评'!$K:$K,MATCH($D211,'02_能力差距自评'!$F:$F,0)))</f>
        <v/>
      </c>
      <c r="P211" s="8"/>
      <c r="Q211" s="8"/>
      <c r="R211" s="8"/>
      <c r="S211" s="8" t="str">
        <f t="shared" si="7"/>
        <v/>
      </c>
      <c r="T211" s="8"/>
      <c r="U211" s="8"/>
      <c r="V211" s="8"/>
    </row>
    <row r="212" spans="1:22">
      <c r="A212" s="8" t="str">
        <f>IF($D212="","","LP"&amp;TEXT(ROWS($A$2:A212),"000"))</f>
        <v/>
      </c>
      <c r="B212" s="8" t="str">
        <f>IF($D212="","",IFERROR(INDEX('02_能力差距自评'!$Q:$Q,MATCH($D212,'02_能力差距自评'!$F:$F,0)),""))</f>
        <v/>
      </c>
      <c r="C212" s="8" t="str">
        <f>IF($D212="","",IFERROR(INDEX('02_能力差距自评'!$R:$R,MATCH($D212,'02_能力差距自评'!$F:$F,0)),""))</f>
        <v/>
      </c>
      <c r="D212" s="8" t="str">
        <f>IFERROR(INDEX('02_能力差距自评'!$F$2:$F$311,MATCH(ROWS($D$2:D212),'02_能力差距自评'!$W$2:$W$311,0)),"")</f>
        <v/>
      </c>
      <c r="E212" s="8" t="str">
        <f>IF($D212="","",INDEX('02_能力差距自评'!$G:$G,MATCH($D212,'02_能力差距自评'!$F:$F,0)))</f>
        <v/>
      </c>
      <c r="F212" s="8" t="str">
        <f>IF($D212="","",INDEX('02_能力差距自评'!$C:$C,MATCH($D212,'02_能力差距自评'!$F:$F,0)))</f>
        <v/>
      </c>
      <c r="G212" s="8" t="str">
        <f>IF($D212="","",INDEX('02_能力差距自评'!$E:$E,MATCH($D212,'02_能力差距自评'!$F:$F,0)))</f>
        <v/>
      </c>
      <c r="H212" s="8" t="str">
        <f>IF($D212="","",INDEX('02_能力差距自评'!$L:$L,MATCH($D212,'02_能力差距自评'!$F:$F,0)))</f>
        <v/>
      </c>
      <c r="I212" s="8" t="str">
        <f>IF($D212="","",INDEX('02_能力差距自评'!$M:$M,MATCH($D212,'02_能力差距自评'!$F:$F,0)))</f>
        <v/>
      </c>
      <c r="J212" s="8" t="str">
        <f>IF($D212="","",INDEX('02_能力差距自评'!$N:$N,MATCH($D212,'02_能力差距自评'!$F:$F,0)))</f>
        <v/>
      </c>
      <c r="K212" s="8" t="str">
        <f>IF($D212="","",INDEX('02_能力差距自评'!$O:$O,MATCH($D212,'02_能力差距自评'!$F:$F,0)))</f>
        <v/>
      </c>
      <c r="L212" s="8" t="str">
        <f>IF($D212="","",INDEX('02_能力差距自评'!$I:$I,MATCH($D212,'02_能力差距自评'!$F:$F,0)))</f>
        <v/>
      </c>
      <c r="M212" s="8" t="str">
        <f t="shared" si="6"/>
        <v/>
      </c>
      <c r="N212" s="8" t="str">
        <f>IF($D212="","",INDEX('02_能力差距自评'!$J:$J,MATCH($D212,'02_能力差距自评'!$F:$F,0)))</f>
        <v/>
      </c>
      <c r="O212" s="8" t="str">
        <f>IF($D212="","",INDEX('02_能力差距自评'!$K:$K,MATCH($D212,'02_能力差距自评'!$F:$F,0)))</f>
        <v/>
      </c>
      <c r="P212" s="8"/>
      <c r="Q212" s="8"/>
      <c r="R212" s="8"/>
      <c r="S212" s="8" t="str">
        <f t="shared" si="7"/>
        <v/>
      </c>
      <c r="T212" s="8"/>
      <c r="U212" s="8"/>
      <c r="V212" s="8"/>
    </row>
    <row r="213" spans="1:22">
      <c r="A213" s="8" t="str">
        <f>IF($D213="","","LP"&amp;TEXT(ROWS($A$2:A213),"000"))</f>
        <v/>
      </c>
      <c r="B213" s="8" t="str">
        <f>IF($D213="","",IFERROR(INDEX('02_能力差距自评'!$Q:$Q,MATCH($D213,'02_能力差距自评'!$F:$F,0)),""))</f>
        <v/>
      </c>
      <c r="C213" s="8" t="str">
        <f>IF($D213="","",IFERROR(INDEX('02_能力差距自评'!$R:$R,MATCH($D213,'02_能力差距自评'!$F:$F,0)),""))</f>
        <v/>
      </c>
      <c r="D213" s="8" t="str">
        <f>IFERROR(INDEX('02_能力差距自评'!$F$2:$F$311,MATCH(ROWS($D$2:D213),'02_能力差距自评'!$W$2:$W$311,0)),"")</f>
        <v/>
      </c>
      <c r="E213" s="8" t="str">
        <f>IF($D213="","",INDEX('02_能力差距自评'!$G:$G,MATCH($D213,'02_能力差距自评'!$F:$F,0)))</f>
        <v/>
      </c>
      <c r="F213" s="8" t="str">
        <f>IF($D213="","",INDEX('02_能力差距自评'!$C:$C,MATCH($D213,'02_能力差距自评'!$F:$F,0)))</f>
        <v/>
      </c>
      <c r="G213" s="8" t="str">
        <f>IF($D213="","",INDEX('02_能力差距自评'!$E:$E,MATCH($D213,'02_能力差距自评'!$F:$F,0)))</f>
        <v/>
      </c>
      <c r="H213" s="8" t="str">
        <f>IF($D213="","",INDEX('02_能力差距自评'!$L:$L,MATCH($D213,'02_能力差距自评'!$F:$F,0)))</f>
        <v/>
      </c>
      <c r="I213" s="8" t="str">
        <f>IF($D213="","",INDEX('02_能力差距自评'!$M:$M,MATCH($D213,'02_能力差距自评'!$F:$F,0)))</f>
        <v/>
      </c>
      <c r="J213" s="8" t="str">
        <f>IF($D213="","",INDEX('02_能力差距自评'!$N:$N,MATCH($D213,'02_能力差距自评'!$F:$F,0)))</f>
        <v/>
      </c>
      <c r="K213" s="8" t="str">
        <f>IF($D213="","",INDEX('02_能力差距自评'!$O:$O,MATCH($D213,'02_能力差距自评'!$F:$F,0)))</f>
        <v/>
      </c>
      <c r="L213" s="8" t="str">
        <f>IF($D213="","",INDEX('02_能力差距自评'!$I:$I,MATCH($D213,'02_能力差距自评'!$F:$F,0)))</f>
        <v/>
      </c>
      <c r="M213" s="8" t="str">
        <f t="shared" si="6"/>
        <v/>
      </c>
      <c r="N213" s="8" t="str">
        <f>IF($D213="","",INDEX('02_能力差距自评'!$J:$J,MATCH($D213,'02_能力差距自评'!$F:$F,0)))</f>
        <v/>
      </c>
      <c r="O213" s="8" t="str">
        <f>IF($D213="","",INDEX('02_能力差距自评'!$K:$K,MATCH($D213,'02_能力差距自评'!$F:$F,0)))</f>
        <v/>
      </c>
      <c r="P213" s="8"/>
      <c r="Q213" s="8"/>
      <c r="R213" s="8"/>
      <c r="S213" s="8" t="str">
        <f t="shared" si="7"/>
        <v/>
      </c>
      <c r="T213" s="8"/>
      <c r="U213" s="8"/>
      <c r="V213" s="8"/>
    </row>
    <row r="214" spans="1:22">
      <c r="A214" s="8" t="str">
        <f>IF($D214="","","LP"&amp;TEXT(ROWS($A$2:A214),"000"))</f>
        <v/>
      </c>
      <c r="B214" s="8" t="str">
        <f>IF($D214="","",IFERROR(INDEX('02_能力差距自评'!$Q:$Q,MATCH($D214,'02_能力差距自评'!$F:$F,0)),""))</f>
        <v/>
      </c>
      <c r="C214" s="8" t="str">
        <f>IF($D214="","",IFERROR(INDEX('02_能力差距自评'!$R:$R,MATCH($D214,'02_能力差距自评'!$F:$F,0)),""))</f>
        <v/>
      </c>
      <c r="D214" s="8" t="str">
        <f>IFERROR(INDEX('02_能力差距自评'!$F$2:$F$311,MATCH(ROWS($D$2:D214),'02_能力差距自评'!$W$2:$W$311,0)),"")</f>
        <v/>
      </c>
      <c r="E214" s="8" t="str">
        <f>IF($D214="","",INDEX('02_能力差距自评'!$G:$G,MATCH($D214,'02_能力差距自评'!$F:$F,0)))</f>
        <v/>
      </c>
      <c r="F214" s="8" t="str">
        <f>IF($D214="","",INDEX('02_能力差距自评'!$C:$C,MATCH($D214,'02_能力差距自评'!$F:$F,0)))</f>
        <v/>
      </c>
      <c r="G214" s="8" t="str">
        <f>IF($D214="","",INDEX('02_能力差距自评'!$E:$E,MATCH($D214,'02_能力差距自评'!$F:$F,0)))</f>
        <v/>
      </c>
      <c r="H214" s="8" t="str">
        <f>IF($D214="","",INDEX('02_能力差距自评'!$L:$L,MATCH($D214,'02_能力差距自评'!$F:$F,0)))</f>
        <v/>
      </c>
      <c r="I214" s="8" t="str">
        <f>IF($D214="","",INDEX('02_能力差距自评'!$M:$M,MATCH($D214,'02_能力差距自评'!$F:$F,0)))</f>
        <v/>
      </c>
      <c r="J214" s="8" t="str">
        <f>IF($D214="","",INDEX('02_能力差距自评'!$N:$N,MATCH($D214,'02_能力差距自评'!$F:$F,0)))</f>
        <v/>
      </c>
      <c r="K214" s="8" t="str">
        <f>IF($D214="","",INDEX('02_能力差距自评'!$O:$O,MATCH($D214,'02_能力差距自评'!$F:$F,0)))</f>
        <v/>
      </c>
      <c r="L214" s="8" t="str">
        <f>IF($D214="","",INDEX('02_能力差距自评'!$I:$I,MATCH($D214,'02_能力差距自评'!$F:$F,0)))</f>
        <v/>
      </c>
      <c r="M214" s="8" t="str">
        <f t="shared" si="6"/>
        <v/>
      </c>
      <c r="N214" s="8" t="str">
        <f>IF($D214="","",INDEX('02_能力差距自评'!$J:$J,MATCH($D214,'02_能力差距自评'!$F:$F,0)))</f>
        <v/>
      </c>
      <c r="O214" s="8" t="str">
        <f>IF($D214="","",INDEX('02_能力差距自评'!$K:$K,MATCH($D214,'02_能力差距自评'!$F:$F,0)))</f>
        <v/>
      </c>
      <c r="P214" s="8"/>
      <c r="Q214" s="8"/>
      <c r="R214" s="8"/>
      <c r="S214" s="8" t="str">
        <f t="shared" si="7"/>
        <v/>
      </c>
      <c r="T214" s="8"/>
      <c r="U214" s="8"/>
      <c r="V214" s="8"/>
    </row>
    <row r="215" spans="1:22">
      <c r="A215" s="8" t="str">
        <f>IF($D215="","","LP"&amp;TEXT(ROWS($A$2:A215),"000"))</f>
        <v/>
      </c>
      <c r="B215" s="8" t="str">
        <f>IF($D215="","",IFERROR(INDEX('02_能力差距自评'!$Q:$Q,MATCH($D215,'02_能力差距自评'!$F:$F,0)),""))</f>
        <v/>
      </c>
      <c r="C215" s="8" t="str">
        <f>IF($D215="","",IFERROR(INDEX('02_能力差距自评'!$R:$R,MATCH($D215,'02_能力差距自评'!$F:$F,0)),""))</f>
        <v/>
      </c>
      <c r="D215" s="8" t="str">
        <f>IFERROR(INDEX('02_能力差距自评'!$F$2:$F$311,MATCH(ROWS($D$2:D215),'02_能力差距自评'!$W$2:$W$311,0)),"")</f>
        <v/>
      </c>
      <c r="E215" s="8" t="str">
        <f>IF($D215="","",INDEX('02_能力差距自评'!$G:$G,MATCH($D215,'02_能力差距自评'!$F:$F,0)))</f>
        <v/>
      </c>
      <c r="F215" s="8" t="str">
        <f>IF($D215="","",INDEX('02_能力差距自评'!$C:$C,MATCH($D215,'02_能力差距自评'!$F:$F,0)))</f>
        <v/>
      </c>
      <c r="G215" s="8" t="str">
        <f>IF($D215="","",INDEX('02_能力差距自评'!$E:$E,MATCH($D215,'02_能力差距自评'!$F:$F,0)))</f>
        <v/>
      </c>
      <c r="H215" s="8" t="str">
        <f>IF($D215="","",INDEX('02_能力差距自评'!$L:$L,MATCH($D215,'02_能力差距自评'!$F:$F,0)))</f>
        <v/>
      </c>
      <c r="I215" s="8" t="str">
        <f>IF($D215="","",INDEX('02_能力差距自评'!$M:$M,MATCH($D215,'02_能力差距自评'!$F:$F,0)))</f>
        <v/>
      </c>
      <c r="J215" s="8" t="str">
        <f>IF($D215="","",INDEX('02_能力差距自评'!$N:$N,MATCH($D215,'02_能力差距自评'!$F:$F,0)))</f>
        <v/>
      </c>
      <c r="K215" s="8" t="str">
        <f>IF($D215="","",INDEX('02_能力差距自评'!$O:$O,MATCH($D215,'02_能力差距自评'!$F:$F,0)))</f>
        <v/>
      </c>
      <c r="L215" s="8" t="str">
        <f>IF($D215="","",INDEX('02_能力差距自评'!$I:$I,MATCH($D215,'02_能力差距自评'!$F:$F,0)))</f>
        <v/>
      </c>
      <c r="M215" s="8" t="str">
        <f t="shared" si="6"/>
        <v/>
      </c>
      <c r="N215" s="8" t="str">
        <f>IF($D215="","",INDEX('02_能力差距自评'!$J:$J,MATCH($D215,'02_能力差距自评'!$F:$F,0)))</f>
        <v/>
      </c>
      <c r="O215" s="8" t="str">
        <f>IF($D215="","",INDEX('02_能力差距自评'!$K:$K,MATCH($D215,'02_能力差距自评'!$F:$F,0)))</f>
        <v/>
      </c>
      <c r="P215" s="8"/>
      <c r="Q215" s="8"/>
      <c r="R215" s="8"/>
      <c r="S215" s="8" t="str">
        <f t="shared" si="7"/>
        <v/>
      </c>
      <c r="T215" s="8"/>
      <c r="U215" s="8"/>
      <c r="V215" s="8"/>
    </row>
    <row r="216" spans="1:22">
      <c r="A216" s="8" t="str">
        <f>IF($D216="","","LP"&amp;TEXT(ROWS($A$2:A216),"000"))</f>
        <v/>
      </c>
      <c r="B216" s="8" t="str">
        <f>IF($D216="","",IFERROR(INDEX('02_能力差距自评'!$Q:$Q,MATCH($D216,'02_能力差距自评'!$F:$F,0)),""))</f>
        <v/>
      </c>
      <c r="C216" s="8" t="str">
        <f>IF($D216="","",IFERROR(INDEX('02_能力差距自评'!$R:$R,MATCH($D216,'02_能力差距自评'!$F:$F,0)),""))</f>
        <v/>
      </c>
      <c r="D216" s="8" t="str">
        <f>IFERROR(INDEX('02_能力差距自评'!$F$2:$F$311,MATCH(ROWS($D$2:D216),'02_能力差距自评'!$W$2:$W$311,0)),"")</f>
        <v/>
      </c>
      <c r="E216" s="8" t="str">
        <f>IF($D216="","",INDEX('02_能力差距自评'!$G:$G,MATCH($D216,'02_能力差距自评'!$F:$F,0)))</f>
        <v/>
      </c>
      <c r="F216" s="8" t="str">
        <f>IF($D216="","",INDEX('02_能力差距自评'!$C:$C,MATCH($D216,'02_能力差距自评'!$F:$F,0)))</f>
        <v/>
      </c>
      <c r="G216" s="8" t="str">
        <f>IF($D216="","",INDEX('02_能力差距自评'!$E:$E,MATCH($D216,'02_能力差距自评'!$F:$F,0)))</f>
        <v/>
      </c>
      <c r="H216" s="8" t="str">
        <f>IF($D216="","",INDEX('02_能力差距自评'!$L:$L,MATCH($D216,'02_能力差距自评'!$F:$F,0)))</f>
        <v/>
      </c>
      <c r="I216" s="8" t="str">
        <f>IF($D216="","",INDEX('02_能力差距自评'!$M:$M,MATCH($D216,'02_能力差距自评'!$F:$F,0)))</f>
        <v/>
      </c>
      <c r="J216" s="8" t="str">
        <f>IF($D216="","",INDEX('02_能力差距自评'!$N:$N,MATCH($D216,'02_能力差距自评'!$F:$F,0)))</f>
        <v/>
      </c>
      <c r="K216" s="8" t="str">
        <f>IF($D216="","",INDEX('02_能力差距自评'!$O:$O,MATCH($D216,'02_能力差距自评'!$F:$F,0)))</f>
        <v/>
      </c>
      <c r="L216" s="8" t="str">
        <f>IF($D216="","",INDEX('02_能力差距自评'!$I:$I,MATCH($D216,'02_能力差距自评'!$F:$F,0)))</f>
        <v/>
      </c>
      <c r="M216" s="8" t="str">
        <f t="shared" si="6"/>
        <v/>
      </c>
      <c r="N216" s="8" t="str">
        <f>IF($D216="","",INDEX('02_能力差距自评'!$J:$J,MATCH($D216,'02_能力差距自评'!$F:$F,0)))</f>
        <v/>
      </c>
      <c r="O216" s="8" t="str">
        <f>IF($D216="","",INDEX('02_能力差距自评'!$K:$K,MATCH($D216,'02_能力差距自评'!$F:$F,0)))</f>
        <v/>
      </c>
      <c r="P216" s="8"/>
      <c r="Q216" s="8"/>
      <c r="R216" s="8"/>
      <c r="S216" s="8" t="str">
        <f t="shared" si="7"/>
        <v/>
      </c>
      <c r="T216" s="8"/>
      <c r="U216" s="8"/>
      <c r="V216" s="8"/>
    </row>
    <row r="217" spans="1:22">
      <c r="A217" s="8" t="str">
        <f>IF($D217="","","LP"&amp;TEXT(ROWS($A$2:A217),"000"))</f>
        <v/>
      </c>
      <c r="B217" s="8" t="str">
        <f>IF($D217="","",IFERROR(INDEX('02_能力差距自评'!$Q:$Q,MATCH($D217,'02_能力差距自评'!$F:$F,0)),""))</f>
        <v/>
      </c>
      <c r="C217" s="8" t="str">
        <f>IF($D217="","",IFERROR(INDEX('02_能力差距自评'!$R:$R,MATCH($D217,'02_能力差距自评'!$F:$F,0)),""))</f>
        <v/>
      </c>
      <c r="D217" s="8" t="str">
        <f>IFERROR(INDEX('02_能力差距自评'!$F$2:$F$311,MATCH(ROWS($D$2:D217),'02_能力差距自评'!$W$2:$W$311,0)),"")</f>
        <v/>
      </c>
      <c r="E217" s="8" t="str">
        <f>IF($D217="","",INDEX('02_能力差距自评'!$G:$G,MATCH($D217,'02_能力差距自评'!$F:$F,0)))</f>
        <v/>
      </c>
      <c r="F217" s="8" t="str">
        <f>IF($D217="","",INDEX('02_能力差距自评'!$C:$C,MATCH($D217,'02_能力差距自评'!$F:$F,0)))</f>
        <v/>
      </c>
      <c r="G217" s="8" t="str">
        <f>IF($D217="","",INDEX('02_能力差距自评'!$E:$E,MATCH($D217,'02_能力差距自评'!$F:$F,0)))</f>
        <v/>
      </c>
      <c r="H217" s="8" t="str">
        <f>IF($D217="","",INDEX('02_能力差距自评'!$L:$L,MATCH($D217,'02_能力差距自评'!$F:$F,0)))</f>
        <v/>
      </c>
      <c r="I217" s="8" t="str">
        <f>IF($D217="","",INDEX('02_能力差距自评'!$M:$M,MATCH($D217,'02_能力差距自评'!$F:$F,0)))</f>
        <v/>
      </c>
      <c r="J217" s="8" t="str">
        <f>IF($D217="","",INDEX('02_能力差距自评'!$N:$N,MATCH($D217,'02_能力差距自评'!$F:$F,0)))</f>
        <v/>
      </c>
      <c r="K217" s="8" t="str">
        <f>IF($D217="","",INDEX('02_能力差距自评'!$O:$O,MATCH($D217,'02_能力差距自评'!$F:$F,0)))</f>
        <v/>
      </c>
      <c r="L217" s="8" t="str">
        <f>IF($D217="","",INDEX('02_能力差距自评'!$I:$I,MATCH($D217,'02_能力差距自评'!$F:$F,0)))</f>
        <v/>
      </c>
      <c r="M217" s="8" t="str">
        <f t="shared" si="6"/>
        <v/>
      </c>
      <c r="N217" s="8" t="str">
        <f>IF($D217="","",INDEX('02_能力差距自评'!$J:$J,MATCH($D217,'02_能力差距自评'!$F:$F,0)))</f>
        <v/>
      </c>
      <c r="O217" s="8" t="str">
        <f>IF($D217="","",INDEX('02_能力差距自评'!$K:$K,MATCH($D217,'02_能力差距自评'!$F:$F,0)))</f>
        <v/>
      </c>
      <c r="P217" s="8"/>
      <c r="Q217" s="8"/>
      <c r="R217" s="8"/>
      <c r="S217" s="8" t="str">
        <f t="shared" si="7"/>
        <v/>
      </c>
      <c r="T217" s="8"/>
      <c r="U217" s="8"/>
      <c r="V217" s="8"/>
    </row>
    <row r="218" spans="1:22">
      <c r="A218" s="8" t="str">
        <f>IF($D218="","","LP"&amp;TEXT(ROWS($A$2:A218),"000"))</f>
        <v/>
      </c>
      <c r="B218" s="8" t="str">
        <f>IF($D218="","",IFERROR(INDEX('02_能力差距自评'!$Q:$Q,MATCH($D218,'02_能力差距自评'!$F:$F,0)),""))</f>
        <v/>
      </c>
      <c r="C218" s="8" t="str">
        <f>IF($D218="","",IFERROR(INDEX('02_能力差距自评'!$R:$R,MATCH($D218,'02_能力差距自评'!$F:$F,0)),""))</f>
        <v/>
      </c>
      <c r="D218" s="8" t="str">
        <f>IFERROR(INDEX('02_能力差距自评'!$F$2:$F$311,MATCH(ROWS($D$2:D218),'02_能力差距自评'!$W$2:$W$311,0)),"")</f>
        <v/>
      </c>
      <c r="E218" s="8" t="str">
        <f>IF($D218="","",INDEX('02_能力差距自评'!$G:$G,MATCH($D218,'02_能力差距自评'!$F:$F,0)))</f>
        <v/>
      </c>
      <c r="F218" s="8" t="str">
        <f>IF($D218="","",INDEX('02_能力差距自评'!$C:$C,MATCH($D218,'02_能力差距自评'!$F:$F,0)))</f>
        <v/>
      </c>
      <c r="G218" s="8" t="str">
        <f>IF($D218="","",INDEX('02_能力差距自评'!$E:$E,MATCH($D218,'02_能力差距自评'!$F:$F,0)))</f>
        <v/>
      </c>
      <c r="H218" s="8" t="str">
        <f>IF($D218="","",INDEX('02_能力差距自评'!$L:$L,MATCH($D218,'02_能力差距自评'!$F:$F,0)))</f>
        <v/>
      </c>
      <c r="I218" s="8" t="str">
        <f>IF($D218="","",INDEX('02_能力差距自评'!$M:$M,MATCH($D218,'02_能力差距自评'!$F:$F,0)))</f>
        <v/>
      </c>
      <c r="J218" s="8" t="str">
        <f>IF($D218="","",INDEX('02_能力差距自评'!$N:$N,MATCH($D218,'02_能力差距自评'!$F:$F,0)))</f>
        <v/>
      </c>
      <c r="K218" s="8" t="str">
        <f>IF($D218="","",INDEX('02_能力差距自评'!$O:$O,MATCH($D218,'02_能力差距自评'!$F:$F,0)))</f>
        <v/>
      </c>
      <c r="L218" s="8" t="str">
        <f>IF($D218="","",INDEX('02_能力差距自评'!$I:$I,MATCH($D218,'02_能力差距自评'!$F:$F,0)))</f>
        <v/>
      </c>
      <c r="M218" s="8" t="str">
        <f t="shared" si="6"/>
        <v/>
      </c>
      <c r="N218" s="8" t="str">
        <f>IF($D218="","",INDEX('02_能力差距自评'!$J:$J,MATCH($D218,'02_能力差距自评'!$F:$F,0)))</f>
        <v/>
      </c>
      <c r="O218" s="8" t="str">
        <f>IF($D218="","",INDEX('02_能力差距自评'!$K:$K,MATCH($D218,'02_能力差距自评'!$F:$F,0)))</f>
        <v/>
      </c>
      <c r="P218" s="8"/>
      <c r="Q218" s="8"/>
      <c r="R218" s="8"/>
      <c r="S218" s="8" t="str">
        <f t="shared" si="7"/>
        <v/>
      </c>
      <c r="T218" s="8"/>
      <c r="U218" s="8"/>
      <c r="V218" s="8"/>
    </row>
    <row r="219" spans="1:22">
      <c r="A219" s="8" t="str">
        <f>IF($D219="","","LP"&amp;TEXT(ROWS($A$2:A219),"000"))</f>
        <v/>
      </c>
      <c r="B219" s="8" t="str">
        <f>IF($D219="","",IFERROR(INDEX('02_能力差距自评'!$Q:$Q,MATCH($D219,'02_能力差距自评'!$F:$F,0)),""))</f>
        <v/>
      </c>
      <c r="C219" s="8" t="str">
        <f>IF($D219="","",IFERROR(INDEX('02_能力差距自评'!$R:$R,MATCH($D219,'02_能力差距自评'!$F:$F,0)),""))</f>
        <v/>
      </c>
      <c r="D219" s="8" t="str">
        <f>IFERROR(INDEX('02_能力差距自评'!$F$2:$F$311,MATCH(ROWS($D$2:D219),'02_能力差距自评'!$W$2:$W$311,0)),"")</f>
        <v/>
      </c>
      <c r="E219" s="8" t="str">
        <f>IF($D219="","",INDEX('02_能力差距自评'!$G:$G,MATCH($D219,'02_能力差距自评'!$F:$F,0)))</f>
        <v/>
      </c>
      <c r="F219" s="8" t="str">
        <f>IF($D219="","",INDEX('02_能力差距自评'!$C:$C,MATCH($D219,'02_能力差距自评'!$F:$F,0)))</f>
        <v/>
      </c>
      <c r="G219" s="8" t="str">
        <f>IF($D219="","",INDEX('02_能力差距自评'!$E:$E,MATCH($D219,'02_能力差距自评'!$F:$F,0)))</f>
        <v/>
      </c>
      <c r="H219" s="8" t="str">
        <f>IF($D219="","",INDEX('02_能力差距自评'!$L:$L,MATCH($D219,'02_能力差距自评'!$F:$F,0)))</f>
        <v/>
      </c>
      <c r="I219" s="8" t="str">
        <f>IF($D219="","",INDEX('02_能力差距自评'!$M:$M,MATCH($D219,'02_能力差距自评'!$F:$F,0)))</f>
        <v/>
      </c>
      <c r="J219" s="8" t="str">
        <f>IF($D219="","",INDEX('02_能力差距自评'!$N:$N,MATCH($D219,'02_能力差距自评'!$F:$F,0)))</f>
        <v/>
      </c>
      <c r="K219" s="8" t="str">
        <f>IF($D219="","",INDEX('02_能力差距自评'!$O:$O,MATCH($D219,'02_能力差距自评'!$F:$F,0)))</f>
        <v/>
      </c>
      <c r="L219" s="8" t="str">
        <f>IF($D219="","",INDEX('02_能力差距自评'!$I:$I,MATCH($D219,'02_能力差距自评'!$F:$F,0)))</f>
        <v/>
      </c>
      <c r="M219" s="8" t="str">
        <f t="shared" si="6"/>
        <v/>
      </c>
      <c r="N219" s="8" t="str">
        <f>IF($D219="","",INDEX('02_能力差距自评'!$J:$J,MATCH($D219,'02_能力差距自评'!$F:$F,0)))</f>
        <v/>
      </c>
      <c r="O219" s="8" t="str">
        <f>IF($D219="","",INDEX('02_能力差距自评'!$K:$K,MATCH($D219,'02_能力差距自评'!$F:$F,0)))</f>
        <v/>
      </c>
      <c r="P219" s="8"/>
      <c r="Q219" s="8"/>
      <c r="R219" s="8"/>
      <c r="S219" s="8" t="str">
        <f t="shared" si="7"/>
        <v/>
      </c>
      <c r="T219" s="8"/>
      <c r="U219" s="8"/>
      <c r="V219" s="8"/>
    </row>
    <row r="220" spans="1:22">
      <c r="A220" s="8" t="str">
        <f>IF($D220="","","LP"&amp;TEXT(ROWS($A$2:A220),"000"))</f>
        <v/>
      </c>
      <c r="B220" s="8" t="str">
        <f>IF($D220="","",IFERROR(INDEX('02_能力差距自评'!$Q:$Q,MATCH($D220,'02_能力差距自评'!$F:$F,0)),""))</f>
        <v/>
      </c>
      <c r="C220" s="8" t="str">
        <f>IF($D220="","",IFERROR(INDEX('02_能力差距自评'!$R:$R,MATCH($D220,'02_能力差距自评'!$F:$F,0)),""))</f>
        <v/>
      </c>
      <c r="D220" s="8" t="str">
        <f>IFERROR(INDEX('02_能力差距自评'!$F$2:$F$311,MATCH(ROWS($D$2:D220),'02_能力差距自评'!$W$2:$W$311,0)),"")</f>
        <v/>
      </c>
      <c r="E220" s="8" t="str">
        <f>IF($D220="","",INDEX('02_能力差距自评'!$G:$G,MATCH($D220,'02_能力差距自评'!$F:$F,0)))</f>
        <v/>
      </c>
      <c r="F220" s="8" t="str">
        <f>IF($D220="","",INDEX('02_能力差距自评'!$C:$C,MATCH($D220,'02_能力差距自评'!$F:$F,0)))</f>
        <v/>
      </c>
      <c r="G220" s="8" t="str">
        <f>IF($D220="","",INDEX('02_能力差距自评'!$E:$E,MATCH($D220,'02_能力差距自评'!$F:$F,0)))</f>
        <v/>
      </c>
      <c r="H220" s="8" t="str">
        <f>IF($D220="","",INDEX('02_能力差距自评'!$L:$L,MATCH($D220,'02_能力差距自评'!$F:$F,0)))</f>
        <v/>
      </c>
      <c r="I220" s="8" t="str">
        <f>IF($D220="","",INDEX('02_能力差距自评'!$M:$M,MATCH($D220,'02_能力差距自评'!$F:$F,0)))</f>
        <v/>
      </c>
      <c r="J220" s="8" t="str">
        <f>IF($D220="","",INDEX('02_能力差距自评'!$N:$N,MATCH($D220,'02_能力差距自评'!$F:$F,0)))</f>
        <v/>
      </c>
      <c r="K220" s="8" t="str">
        <f>IF($D220="","",INDEX('02_能力差距自评'!$O:$O,MATCH($D220,'02_能力差距自评'!$F:$F,0)))</f>
        <v/>
      </c>
      <c r="L220" s="8" t="str">
        <f>IF($D220="","",INDEX('02_能力差距自评'!$I:$I,MATCH($D220,'02_能力差距自评'!$F:$F,0)))</f>
        <v/>
      </c>
      <c r="M220" s="8" t="str">
        <f t="shared" si="6"/>
        <v/>
      </c>
      <c r="N220" s="8" t="str">
        <f>IF($D220="","",INDEX('02_能力差距自评'!$J:$J,MATCH($D220,'02_能力差距自评'!$F:$F,0)))</f>
        <v/>
      </c>
      <c r="O220" s="8" t="str">
        <f>IF($D220="","",INDEX('02_能力差距自评'!$K:$K,MATCH($D220,'02_能力差距自评'!$F:$F,0)))</f>
        <v/>
      </c>
      <c r="P220" s="8"/>
      <c r="Q220" s="8"/>
      <c r="R220" s="8"/>
      <c r="S220" s="8" t="str">
        <f t="shared" si="7"/>
        <v/>
      </c>
      <c r="T220" s="8"/>
      <c r="U220" s="8"/>
      <c r="V220" s="8"/>
    </row>
    <row r="221" spans="1:22">
      <c r="A221" s="8" t="str">
        <f>IF($D221="","","LP"&amp;TEXT(ROWS($A$2:A221),"000"))</f>
        <v/>
      </c>
      <c r="B221" s="8" t="str">
        <f>IF($D221="","",IFERROR(INDEX('02_能力差距自评'!$Q:$Q,MATCH($D221,'02_能力差距自评'!$F:$F,0)),""))</f>
        <v/>
      </c>
      <c r="C221" s="8" t="str">
        <f>IF($D221="","",IFERROR(INDEX('02_能力差距自评'!$R:$R,MATCH($D221,'02_能力差距自评'!$F:$F,0)),""))</f>
        <v/>
      </c>
      <c r="D221" s="8" t="str">
        <f>IFERROR(INDEX('02_能力差距自评'!$F$2:$F$311,MATCH(ROWS($D$2:D221),'02_能力差距自评'!$W$2:$W$311,0)),"")</f>
        <v/>
      </c>
      <c r="E221" s="8" t="str">
        <f>IF($D221="","",INDEX('02_能力差距自评'!$G:$G,MATCH($D221,'02_能力差距自评'!$F:$F,0)))</f>
        <v/>
      </c>
      <c r="F221" s="8" t="str">
        <f>IF($D221="","",INDEX('02_能力差距自评'!$C:$C,MATCH($D221,'02_能力差距自评'!$F:$F,0)))</f>
        <v/>
      </c>
      <c r="G221" s="8" t="str">
        <f>IF($D221="","",INDEX('02_能力差距自评'!$E:$E,MATCH($D221,'02_能力差距自评'!$F:$F,0)))</f>
        <v/>
      </c>
      <c r="H221" s="8" t="str">
        <f>IF($D221="","",INDEX('02_能力差距自评'!$L:$L,MATCH($D221,'02_能力差距自评'!$F:$F,0)))</f>
        <v/>
      </c>
      <c r="I221" s="8" t="str">
        <f>IF($D221="","",INDEX('02_能力差距自评'!$M:$M,MATCH($D221,'02_能力差距自评'!$F:$F,0)))</f>
        <v/>
      </c>
      <c r="J221" s="8" t="str">
        <f>IF($D221="","",INDEX('02_能力差距自评'!$N:$N,MATCH($D221,'02_能力差距自评'!$F:$F,0)))</f>
        <v/>
      </c>
      <c r="K221" s="8" t="str">
        <f>IF($D221="","",INDEX('02_能力差距自评'!$O:$O,MATCH($D221,'02_能力差距自评'!$F:$F,0)))</f>
        <v/>
      </c>
      <c r="L221" s="8" t="str">
        <f>IF($D221="","",INDEX('02_能力差距自评'!$I:$I,MATCH($D221,'02_能力差距自评'!$F:$F,0)))</f>
        <v/>
      </c>
      <c r="M221" s="8" t="str">
        <f t="shared" si="6"/>
        <v/>
      </c>
      <c r="N221" s="8" t="str">
        <f>IF($D221="","",INDEX('02_能力差距自评'!$J:$J,MATCH($D221,'02_能力差距自评'!$F:$F,0)))</f>
        <v/>
      </c>
      <c r="O221" s="8" t="str">
        <f>IF($D221="","",INDEX('02_能力差距自评'!$K:$K,MATCH($D221,'02_能力差距自评'!$F:$F,0)))</f>
        <v/>
      </c>
      <c r="P221" s="8"/>
      <c r="Q221" s="8"/>
      <c r="R221" s="8"/>
      <c r="S221" s="8" t="str">
        <f t="shared" si="7"/>
        <v/>
      </c>
      <c r="T221" s="8"/>
      <c r="U221" s="8"/>
      <c r="V221" s="8"/>
    </row>
    <row r="222" spans="1:22">
      <c r="A222" s="8" t="str">
        <f>IF($D222="","","LP"&amp;TEXT(ROWS($A$2:A222),"000"))</f>
        <v/>
      </c>
      <c r="B222" s="8" t="str">
        <f>IF($D222="","",IFERROR(INDEX('02_能力差距自评'!$Q:$Q,MATCH($D222,'02_能力差距自评'!$F:$F,0)),""))</f>
        <v/>
      </c>
      <c r="C222" s="8" t="str">
        <f>IF($D222="","",IFERROR(INDEX('02_能力差距自评'!$R:$R,MATCH($D222,'02_能力差距自评'!$F:$F,0)),""))</f>
        <v/>
      </c>
      <c r="D222" s="8" t="str">
        <f>IFERROR(INDEX('02_能力差距自评'!$F$2:$F$311,MATCH(ROWS($D$2:D222),'02_能力差距自评'!$W$2:$W$311,0)),"")</f>
        <v/>
      </c>
      <c r="E222" s="8" t="str">
        <f>IF($D222="","",INDEX('02_能力差距自评'!$G:$G,MATCH($D222,'02_能力差距自评'!$F:$F,0)))</f>
        <v/>
      </c>
      <c r="F222" s="8" t="str">
        <f>IF($D222="","",INDEX('02_能力差距自评'!$C:$C,MATCH($D222,'02_能力差距自评'!$F:$F,0)))</f>
        <v/>
      </c>
      <c r="G222" s="8" t="str">
        <f>IF($D222="","",INDEX('02_能力差距自评'!$E:$E,MATCH($D222,'02_能力差距自评'!$F:$F,0)))</f>
        <v/>
      </c>
      <c r="H222" s="8" t="str">
        <f>IF($D222="","",INDEX('02_能力差距自评'!$L:$L,MATCH($D222,'02_能力差距自评'!$F:$F,0)))</f>
        <v/>
      </c>
      <c r="I222" s="8" t="str">
        <f>IF($D222="","",INDEX('02_能力差距自评'!$M:$M,MATCH($D222,'02_能力差距自评'!$F:$F,0)))</f>
        <v/>
      </c>
      <c r="J222" s="8" t="str">
        <f>IF($D222="","",INDEX('02_能力差距自评'!$N:$N,MATCH($D222,'02_能力差距自评'!$F:$F,0)))</f>
        <v/>
      </c>
      <c r="K222" s="8" t="str">
        <f>IF($D222="","",INDEX('02_能力差距自评'!$O:$O,MATCH($D222,'02_能力差距自评'!$F:$F,0)))</f>
        <v/>
      </c>
      <c r="L222" s="8" t="str">
        <f>IF($D222="","",INDEX('02_能力差距自评'!$I:$I,MATCH($D222,'02_能力差距自评'!$F:$F,0)))</f>
        <v/>
      </c>
      <c r="M222" s="8" t="str">
        <f t="shared" si="6"/>
        <v/>
      </c>
      <c r="N222" s="8" t="str">
        <f>IF($D222="","",INDEX('02_能力差距自评'!$J:$J,MATCH($D222,'02_能力差距自评'!$F:$F,0)))</f>
        <v/>
      </c>
      <c r="O222" s="8" t="str">
        <f>IF($D222="","",INDEX('02_能力差距自评'!$K:$K,MATCH($D222,'02_能力差距自评'!$F:$F,0)))</f>
        <v/>
      </c>
      <c r="P222" s="8"/>
      <c r="Q222" s="8"/>
      <c r="R222" s="8"/>
      <c r="S222" s="8" t="str">
        <f t="shared" si="7"/>
        <v/>
      </c>
      <c r="T222" s="8"/>
      <c r="U222" s="8"/>
      <c r="V222" s="8"/>
    </row>
    <row r="223" spans="1:22">
      <c r="A223" s="8" t="str">
        <f>IF($D223="","","LP"&amp;TEXT(ROWS($A$2:A223),"000"))</f>
        <v/>
      </c>
      <c r="B223" s="8" t="str">
        <f>IF($D223="","",IFERROR(INDEX('02_能力差距自评'!$Q:$Q,MATCH($D223,'02_能力差距自评'!$F:$F,0)),""))</f>
        <v/>
      </c>
      <c r="C223" s="8" t="str">
        <f>IF($D223="","",IFERROR(INDEX('02_能力差距自评'!$R:$R,MATCH($D223,'02_能力差距自评'!$F:$F,0)),""))</f>
        <v/>
      </c>
      <c r="D223" s="8" t="str">
        <f>IFERROR(INDEX('02_能力差距自评'!$F$2:$F$311,MATCH(ROWS($D$2:D223),'02_能力差距自评'!$W$2:$W$311,0)),"")</f>
        <v/>
      </c>
      <c r="E223" s="8" t="str">
        <f>IF($D223="","",INDEX('02_能力差距自评'!$G:$G,MATCH($D223,'02_能力差距自评'!$F:$F,0)))</f>
        <v/>
      </c>
      <c r="F223" s="8" t="str">
        <f>IF($D223="","",INDEX('02_能力差距自评'!$C:$C,MATCH($D223,'02_能力差距自评'!$F:$F,0)))</f>
        <v/>
      </c>
      <c r="G223" s="8" t="str">
        <f>IF($D223="","",INDEX('02_能力差距自评'!$E:$E,MATCH($D223,'02_能力差距自评'!$F:$F,0)))</f>
        <v/>
      </c>
      <c r="H223" s="8" t="str">
        <f>IF($D223="","",INDEX('02_能力差距自评'!$L:$L,MATCH($D223,'02_能力差距自评'!$F:$F,0)))</f>
        <v/>
      </c>
      <c r="I223" s="8" t="str">
        <f>IF($D223="","",INDEX('02_能力差距自评'!$M:$M,MATCH($D223,'02_能力差距自评'!$F:$F,0)))</f>
        <v/>
      </c>
      <c r="J223" s="8" t="str">
        <f>IF($D223="","",INDEX('02_能力差距自评'!$N:$N,MATCH($D223,'02_能力差距自评'!$F:$F,0)))</f>
        <v/>
      </c>
      <c r="K223" s="8" t="str">
        <f>IF($D223="","",INDEX('02_能力差距自评'!$O:$O,MATCH($D223,'02_能力差距自评'!$F:$F,0)))</f>
        <v/>
      </c>
      <c r="L223" s="8" t="str">
        <f>IF($D223="","",INDEX('02_能力差距自评'!$I:$I,MATCH($D223,'02_能力差距自评'!$F:$F,0)))</f>
        <v/>
      </c>
      <c r="M223" s="8" t="str">
        <f t="shared" si="6"/>
        <v/>
      </c>
      <c r="N223" s="8" t="str">
        <f>IF($D223="","",INDEX('02_能力差距自评'!$J:$J,MATCH($D223,'02_能力差距自评'!$F:$F,0)))</f>
        <v/>
      </c>
      <c r="O223" s="8" t="str">
        <f>IF($D223="","",INDEX('02_能力差距自评'!$K:$K,MATCH($D223,'02_能力差距自评'!$F:$F,0)))</f>
        <v/>
      </c>
      <c r="P223" s="8"/>
      <c r="Q223" s="8"/>
      <c r="R223" s="8"/>
      <c r="S223" s="8" t="str">
        <f t="shared" si="7"/>
        <v/>
      </c>
      <c r="T223" s="8"/>
      <c r="U223" s="8"/>
      <c r="V223" s="8"/>
    </row>
    <row r="224" spans="1:22">
      <c r="A224" s="8" t="str">
        <f>IF($D224="","","LP"&amp;TEXT(ROWS($A$2:A224),"000"))</f>
        <v/>
      </c>
      <c r="B224" s="8" t="str">
        <f>IF($D224="","",IFERROR(INDEX('02_能力差距自评'!$Q:$Q,MATCH($D224,'02_能力差距自评'!$F:$F,0)),""))</f>
        <v/>
      </c>
      <c r="C224" s="8" t="str">
        <f>IF($D224="","",IFERROR(INDEX('02_能力差距自评'!$R:$R,MATCH($D224,'02_能力差距自评'!$F:$F,0)),""))</f>
        <v/>
      </c>
      <c r="D224" s="8" t="str">
        <f>IFERROR(INDEX('02_能力差距自评'!$F$2:$F$311,MATCH(ROWS($D$2:D224),'02_能力差距自评'!$W$2:$W$311,0)),"")</f>
        <v/>
      </c>
      <c r="E224" s="8" t="str">
        <f>IF($D224="","",INDEX('02_能力差距自评'!$G:$G,MATCH($D224,'02_能力差距自评'!$F:$F,0)))</f>
        <v/>
      </c>
      <c r="F224" s="8" t="str">
        <f>IF($D224="","",INDEX('02_能力差距自评'!$C:$C,MATCH($D224,'02_能力差距自评'!$F:$F,0)))</f>
        <v/>
      </c>
      <c r="G224" s="8" t="str">
        <f>IF($D224="","",INDEX('02_能力差距自评'!$E:$E,MATCH($D224,'02_能力差距自评'!$F:$F,0)))</f>
        <v/>
      </c>
      <c r="H224" s="8" t="str">
        <f>IF($D224="","",INDEX('02_能力差距自评'!$L:$L,MATCH($D224,'02_能力差距自评'!$F:$F,0)))</f>
        <v/>
      </c>
      <c r="I224" s="8" t="str">
        <f>IF($D224="","",INDEX('02_能力差距自评'!$M:$M,MATCH($D224,'02_能力差距自评'!$F:$F,0)))</f>
        <v/>
      </c>
      <c r="J224" s="8" t="str">
        <f>IF($D224="","",INDEX('02_能力差距自评'!$N:$N,MATCH($D224,'02_能力差距自评'!$F:$F,0)))</f>
        <v/>
      </c>
      <c r="K224" s="8" t="str">
        <f>IF($D224="","",INDEX('02_能力差距自评'!$O:$O,MATCH($D224,'02_能力差距自评'!$F:$F,0)))</f>
        <v/>
      </c>
      <c r="L224" s="8" t="str">
        <f>IF($D224="","",INDEX('02_能力差距自评'!$I:$I,MATCH($D224,'02_能力差距自评'!$F:$F,0)))</f>
        <v/>
      </c>
      <c r="M224" s="8" t="str">
        <f t="shared" si="6"/>
        <v/>
      </c>
      <c r="N224" s="8" t="str">
        <f>IF($D224="","",INDEX('02_能力差距自评'!$J:$J,MATCH($D224,'02_能力差距自评'!$F:$F,0)))</f>
        <v/>
      </c>
      <c r="O224" s="8" t="str">
        <f>IF($D224="","",INDEX('02_能力差距自评'!$K:$K,MATCH($D224,'02_能力差距自评'!$F:$F,0)))</f>
        <v/>
      </c>
      <c r="P224" s="8"/>
      <c r="Q224" s="8"/>
      <c r="R224" s="8"/>
      <c r="S224" s="8" t="str">
        <f t="shared" si="7"/>
        <v/>
      </c>
      <c r="T224" s="8"/>
      <c r="U224" s="8"/>
      <c r="V224" s="8"/>
    </row>
    <row r="225" spans="1:22">
      <c r="A225" s="8" t="str">
        <f>IF($D225="","","LP"&amp;TEXT(ROWS($A$2:A225),"000"))</f>
        <v/>
      </c>
      <c r="B225" s="8" t="str">
        <f>IF($D225="","",IFERROR(INDEX('02_能力差距自评'!$Q:$Q,MATCH($D225,'02_能力差距自评'!$F:$F,0)),""))</f>
        <v/>
      </c>
      <c r="C225" s="8" t="str">
        <f>IF($D225="","",IFERROR(INDEX('02_能力差距自评'!$R:$R,MATCH($D225,'02_能力差距自评'!$F:$F,0)),""))</f>
        <v/>
      </c>
      <c r="D225" s="8" t="str">
        <f>IFERROR(INDEX('02_能力差距自评'!$F$2:$F$311,MATCH(ROWS($D$2:D225),'02_能力差距自评'!$W$2:$W$311,0)),"")</f>
        <v/>
      </c>
      <c r="E225" s="8" t="str">
        <f>IF($D225="","",INDEX('02_能力差距自评'!$G:$G,MATCH($D225,'02_能力差距自评'!$F:$F,0)))</f>
        <v/>
      </c>
      <c r="F225" s="8" t="str">
        <f>IF($D225="","",INDEX('02_能力差距自评'!$C:$C,MATCH($D225,'02_能力差距自评'!$F:$F,0)))</f>
        <v/>
      </c>
      <c r="G225" s="8" t="str">
        <f>IF($D225="","",INDEX('02_能力差距自评'!$E:$E,MATCH($D225,'02_能力差距自评'!$F:$F,0)))</f>
        <v/>
      </c>
      <c r="H225" s="8" t="str">
        <f>IF($D225="","",INDEX('02_能力差距自评'!$L:$L,MATCH($D225,'02_能力差距自评'!$F:$F,0)))</f>
        <v/>
      </c>
      <c r="I225" s="8" t="str">
        <f>IF($D225="","",INDEX('02_能力差距自评'!$M:$M,MATCH($D225,'02_能力差距自评'!$F:$F,0)))</f>
        <v/>
      </c>
      <c r="J225" s="8" t="str">
        <f>IF($D225="","",INDEX('02_能力差距自评'!$N:$N,MATCH($D225,'02_能力差距自评'!$F:$F,0)))</f>
        <v/>
      </c>
      <c r="K225" s="8" t="str">
        <f>IF($D225="","",INDEX('02_能力差距自评'!$O:$O,MATCH($D225,'02_能力差距自评'!$F:$F,0)))</f>
        <v/>
      </c>
      <c r="L225" s="8" t="str">
        <f>IF($D225="","",INDEX('02_能力差距自评'!$I:$I,MATCH($D225,'02_能力差距自评'!$F:$F,0)))</f>
        <v/>
      </c>
      <c r="M225" s="8" t="str">
        <f t="shared" si="6"/>
        <v/>
      </c>
      <c r="N225" s="8" t="str">
        <f>IF($D225="","",INDEX('02_能力差距自评'!$J:$J,MATCH($D225,'02_能力差距自评'!$F:$F,0)))</f>
        <v/>
      </c>
      <c r="O225" s="8" t="str">
        <f>IF($D225="","",INDEX('02_能力差距自评'!$K:$K,MATCH($D225,'02_能力差距自评'!$F:$F,0)))</f>
        <v/>
      </c>
      <c r="P225" s="8"/>
      <c r="Q225" s="8"/>
      <c r="R225" s="8"/>
      <c r="S225" s="8" t="str">
        <f t="shared" si="7"/>
        <v/>
      </c>
      <c r="T225" s="8"/>
      <c r="U225" s="8"/>
      <c r="V225" s="8"/>
    </row>
    <row r="226" spans="1:22">
      <c r="A226" s="8" t="str">
        <f>IF($D226="","","LP"&amp;TEXT(ROWS($A$2:A226),"000"))</f>
        <v/>
      </c>
      <c r="B226" s="8" t="str">
        <f>IF($D226="","",IFERROR(INDEX('02_能力差距自评'!$Q:$Q,MATCH($D226,'02_能力差距自评'!$F:$F,0)),""))</f>
        <v/>
      </c>
      <c r="C226" s="8" t="str">
        <f>IF($D226="","",IFERROR(INDEX('02_能力差距自评'!$R:$R,MATCH($D226,'02_能力差距自评'!$F:$F,0)),""))</f>
        <v/>
      </c>
      <c r="D226" s="8" t="str">
        <f>IFERROR(INDEX('02_能力差距自评'!$F$2:$F$311,MATCH(ROWS($D$2:D226),'02_能力差距自评'!$W$2:$W$311,0)),"")</f>
        <v/>
      </c>
      <c r="E226" s="8" t="str">
        <f>IF($D226="","",INDEX('02_能力差距自评'!$G:$G,MATCH($D226,'02_能力差距自评'!$F:$F,0)))</f>
        <v/>
      </c>
      <c r="F226" s="8" t="str">
        <f>IF($D226="","",INDEX('02_能力差距自评'!$C:$C,MATCH($D226,'02_能力差距自评'!$F:$F,0)))</f>
        <v/>
      </c>
      <c r="G226" s="8" t="str">
        <f>IF($D226="","",INDEX('02_能力差距自评'!$E:$E,MATCH($D226,'02_能力差距自评'!$F:$F,0)))</f>
        <v/>
      </c>
      <c r="H226" s="8" t="str">
        <f>IF($D226="","",INDEX('02_能力差距自评'!$L:$L,MATCH($D226,'02_能力差距自评'!$F:$F,0)))</f>
        <v/>
      </c>
      <c r="I226" s="8" t="str">
        <f>IF($D226="","",INDEX('02_能力差距自评'!$M:$M,MATCH($D226,'02_能力差距自评'!$F:$F,0)))</f>
        <v/>
      </c>
      <c r="J226" s="8" t="str">
        <f>IF($D226="","",INDEX('02_能力差距自评'!$N:$N,MATCH($D226,'02_能力差距自评'!$F:$F,0)))</f>
        <v/>
      </c>
      <c r="K226" s="8" t="str">
        <f>IF($D226="","",INDEX('02_能力差距自评'!$O:$O,MATCH($D226,'02_能力差距自评'!$F:$F,0)))</f>
        <v/>
      </c>
      <c r="L226" s="8" t="str">
        <f>IF($D226="","",INDEX('02_能力差距自评'!$I:$I,MATCH($D226,'02_能力差距自评'!$F:$F,0)))</f>
        <v/>
      </c>
      <c r="M226" s="8" t="str">
        <f t="shared" si="6"/>
        <v/>
      </c>
      <c r="N226" s="8" t="str">
        <f>IF($D226="","",INDEX('02_能力差距自评'!$J:$J,MATCH($D226,'02_能力差距自评'!$F:$F,0)))</f>
        <v/>
      </c>
      <c r="O226" s="8" t="str">
        <f>IF($D226="","",INDEX('02_能力差距自评'!$K:$K,MATCH($D226,'02_能力差距自评'!$F:$F,0)))</f>
        <v/>
      </c>
      <c r="P226" s="8"/>
      <c r="Q226" s="8"/>
      <c r="R226" s="8"/>
      <c r="S226" s="8" t="str">
        <f t="shared" si="7"/>
        <v/>
      </c>
      <c r="T226" s="8"/>
      <c r="U226" s="8"/>
      <c r="V226" s="8"/>
    </row>
    <row r="227" spans="1:22">
      <c r="A227" s="8" t="str">
        <f>IF($D227="","","LP"&amp;TEXT(ROWS($A$2:A227),"000"))</f>
        <v/>
      </c>
      <c r="B227" s="8" t="str">
        <f>IF($D227="","",IFERROR(INDEX('02_能力差距自评'!$Q:$Q,MATCH($D227,'02_能力差距自评'!$F:$F,0)),""))</f>
        <v/>
      </c>
      <c r="C227" s="8" t="str">
        <f>IF($D227="","",IFERROR(INDEX('02_能力差距自评'!$R:$R,MATCH($D227,'02_能力差距自评'!$F:$F,0)),""))</f>
        <v/>
      </c>
      <c r="D227" s="8" t="str">
        <f>IFERROR(INDEX('02_能力差距自评'!$F$2:$F$311,MATCH(ROWS($D$2:D227),'02_能力差距自评'!$W$2:$W$311,0)),"")</f>
        <v/>
      </c>
      <c r="E227" s="8" t="str">
        <f>IF($D227="","",INDEX('02_能力差距自评'!$G:$G,MATCH($D227,'02_能力差距自评'!$F:$F,0)))</f>
        <v/>
      </c>
      <c r="F227" s="8" t="str">
        <f>IF($D227="","",INDEX('02_能力差距自评'!$C:$C,MATCH($D227,'02_能力差距自评'!$F:$F,0)))</f>
        <v/>
      </c>
      <c r="G227" s="8" t="str">
        <f>IF($D227="","",INDEX('02_能力差距自评'!$E:$E,MATCH($D227,'02_能力差距自评'!$F:$F,0)))</f>
        <v/>
      </c>
      <c r="H227" s="8" t="str">
        <f>IF($D227="","",INDEX('02_能力差距自评'!$L:$L,MATCH($D227,'02_能力差距自评'!$F:$F,0)))</f>
        <v/>
      </c>
      <c r="I227" s="8" t="str">
        <f>IF($D227="","",INDEX('02_能力差距自评'!$M:$M,MATCH($D227,'02_能力差距自评'!$F:$F,0)))</f>
        <v/>
      </c>
      <c r="J227" s="8" t="str">
        <f>IF($D227="","",INDEX('02_能力差距自评'!$N:$N,MATCH($D227,'02_能力差距自评'!$F:$F,0)))</f>
        <v/>
      </c>
      <c r="K227" s="8" t="str">
        <f>IF($D227="","",INDEX('02_能力差距自评'!$O:$O,MATCH($D227,'02_能力差距自评'!$F:$F,0)))</f>
        <v/>
      </c>
      <c r="L227" s="8" t="str">
        <f>IF($D227="","",INDEX('02_能力差距自评'!$I:$I,MATCH($D227,'02_能力差距自评'!$F:$F,0)))</f>
        <v/>
      </c>
      <c r="M227" s="8" t="str">
        <f t="shared" si="6"/>
        <v/>
      </c>
      <c r="N227" s="8" t="str">
        <f>IF($D227="","",INDEX('02_能力差距自评'!$J:$J,MATCH($D227,'02_能力差距自评'!$F:$F,0)))</f>
        <v/>
      </c>
      <c r="O227" s="8" t="str">
        <f>IF($D227="","",INDEX('02_能力差距自评'!$K:$K,MATCH($D227,'02_能力差距自评'!$F:$F,0)))</f>
        <v/>
      </c>
      <c r="P227" s="8"/>
      <c r="Q227" s="8"/>
      <c r="R227" s="8"/>
      <c r="S227" s="8" t="str">
        <f t="shared" si="7"/>
        <v/>
      </c>
      <c r="T227" s="8"/>
      <c r="U227" s="8"/>
      <c r="V227" s="8"/>
    </row>
    <row r="228" spans="1:22">
      <c r="A228" s="8" t="str">
        <f>IF($D228="","","LP"&amp;TEXT(ROWS($A$2:A228),"000"))</f>
        <v/>
      </c>
      <c r="B228" s="8" t="str">
        <f>IF($D228="","",IFERROR(INDEX('02_能力差距自评'!$Q:$Q,MATCH($D228,'02_能力差距自评'!$F:$F,0)),""))</f>
        <v/>
      </c>
      <c r="C228" s="8" t="str">
        <f>IF($D228="","",IFERROR(INDEX('02_能力差距自评'!$R:$R,MATCH($D228,'02_能力差距自评'!$F:$F,0)),""))</f>
        <v/>
      </c>
      <c r="D228" s="8" t="str">
        <f>IFERROR(INDEX('02_能力差距自评'!$F$2:$F$311,MATCH(ROWS($D$2:D228),'02_能力差距自评'!$W$2:$W$311,0)),"")</f>
        <v/>
      </c>
      <c r="E228" s="8" t="str">
        <f>IF($D228="","",INDEX('02_能力差距自评'!$G:$G,MATCH($D228,'02_能力差距自评'!$F:$F,0)))</f>
        <v/>
      </c>
      <c r="F228" s="8" t="str">
        <f>IF($D228="","",INDEX('02_能力差距自评'!$C:$C,MATCH($D228,'02_能力差距自评'!$F:$F,0)))</f>
        <v/>
      </c>
      <c r="G228" s="8" t="str">
        <f>IF($D228="","",INDEX('02_能力差距自评'!$E:$E,MATCH($D228,'02_能力差距自评'!$F:$F,0)))</f>
        <v/>
      </c>
      <c r="H228" s="8" t="str">
        <f>IF($D228="","",INDEX('02_能力差距自评'!$L:$L,MATCH($D228,'02_能力差距自评'!$F:$F,0)))</f>
        <v/>
      </c>
      <c r="I228" s="8" t="str">
        <f>IF($D228="","",INDEX('02_能力差距自评'!$M:$M,MATCH($D228,'02_能力差距自评'!$F:$F,0)))</f>
        <v/>
      </c>
      <c r="J228" s="8" t="str">
        <f>IF($D228="","",INDEX('02_能力差距自评'!$N:$N,MATCH($D228,'02_能力差距自评'!$F:$F,0)))</f>
        <v/>
      </c>
      <c r="K228" s="8" t="str">
        <f>IF($D228="","",INDEX('02_能力差距自评'!$O:$O,MATCH($D228,'02_能力差距自评'!$F:$F,0)))</f>
        <v/>
      </c>
      <c r="L228" s="8" t="str">
        <f>IF($D228="","",INDEX('02_能力差距自评'!$I:$I,MATCH($D228,'02_能力差距自评'!$F:$F,0)))</f>
        <v/>
      </c>
      <c r="M228" s="8" t="str">
        <f t="shared" si="6"/>
        <v/>
      </c>
      <c r="N228" s="8" t="str">
        <f>IF($D228="","",INDEX('02_能力差距自评'!$J:$J,MATCH($D228,'02_能力差距自评'!$F:$F,0)))</f>
        <v/>
      </c>
      <c r="O228" s="8" t="str">
        <f>IF($D228="","",INDEX('02_能力差距自评'!$K:$K,MATCH($D228,'02_能力差距自评'!$F:$F,0)))</f>
        <v/>
      </c>
      <c r="P228" s="8"/>
      <c r="Q228" s="8"/>
      <c r="R228" s="8"/>
      <c r="S228" s="8" t="str">
        <f t="shared" si="7"/>
        <v/>
      </c>
      <c r="T228" s="8"/>
      <c r="U228" s="8"/>
      <c r="V228" s="8"/>
    </row>
    <row r="229" spans="1:22">
      <c r="A229" s="8" t="str">
        <f>IF($D229="","","LP"&amp;TEXT(ROWS($A$2:A229),"000"))</f>
        <v/>
      </c>
      <c r="B229" s="8" t="str">
        <f>IF($D229="","",IFERROR(INDEX('02_能力差距自评'!$Q:$Q,MATCH($D229,'02_能力差距自评'!$F:$F,0)),""))</f>
        <v/>
      </c>
      <c r="C229" s="8" t="str">
        <f>IF($D229="","",IFERROR(INDEX('02_能力差距自评'!$R:$R,MATCH($D229,'02_能力差距自评'!$F:$F,0)),""))</f>
        <v/>
      </c>
      <c r="D229" s="8" t="str">
        <f>IFERROR(INDEX('02_能力差距自评'!$F$2:$F$311,MATCH(ROWS($D$2:D229),'02_能力差距自评'!$W$2:$W$311,0)),"")</f>
        <v/>
      </c>
      <c r="E229" s="8" t="str">
        <f>IF($D229="","",INDEX('02_能力差距自评'!$G:$G,MATCH($D229,'02_能力差距自评'!$F:$F,0)))</f>
        <v/>
      </c>
      <c r="F229" s="8" t="str">
        <f>IF($D229="","",INDEX('02_能力差距自评'!$C:$C,MATCH($D229,'02_能力差距自评'!$F:$F,0)))</f>
        <v/>
      </c>
      <c r="G229" s="8" t="str">
        <f>IF($D229="","",INDEX('02_能力差距自评'!$E:$E,MATCH($D229,'02_能力差距自评'!$F:$F,0)))</f>
        <v/>
      </c>
      <c r="H229" s="8" t="str">
        <f>IF($D229="","",INDEX('02_能力差距自评'!$L:$L,MATCH($D229,'02_能力差距自评'!$F:$F,0)))</f>
        <v/>
      </c>
      <c r="I229" s="8" t="str">
        <f>IF($D229="","",INDEX('02_能力差距自评'!$M:$M,MATCH($D229,'02_能力差距自评'!$F:$F,0)))</f>
        <v/>
      </c>
      <c r="J229" s="8" t="str">
        <f>IF($D229="","",INDEX('02_能力差距自评'!$N:$N,MATCH($D229,'02_能力差距自评'!$F:$F,0)))</f>
        <v/>
      </c>
      <c r="K229" s="8" t="str">
        <f>IF($D229="","",INDEX('02_能力差距自评'!$O:$O,MATCH($D229,'02_能力差距自评'!$F:$F,0)))</f>
        <v/>
      </c>
      <c r="L229" s="8" t="str">
        <f>IF($D229="","",INDEX('02_能力差距自评'!$I:$I,MATCH($D229,'02_能力差距自评'!$F:$F,0)))</f>
        <v/>
      </c>
      <c r="M229" s="8" t="str">
        <f t="shared" si="6"/>
        <v/>
      </c>
      <c r="N229" s="8" t="str">
        <f>IF($D229="","",INDEX('02_能力差距自评'!$J:$J,MATCH($D229,'02_能力差距自评'!$F:$F,0)))</f>
        <v/>
      </c>
      <c r="O229" s="8" t="str">
        <f>IF($D229="","",INDEX('02_能力差距自评'!$K:$K,MATCH($D229,'02_能力差距自评'!$F:$F,0)))</f>
        <v/>
      </c>
      <c r="P229" s="8"/>
      <c r="Q229" s="8"/>
      <c r="R229" s="8"/>
      <c r="S229" s="8" t="str">
        <f t="shared" si="7"/>
        <v/>
      </c>
      <c r="T229" s="8"/>
      <c r="U229" s="8"/>
      <c r="V229" s="8"/>
    </row>
    <row r="230" spans="1:22">
      <c r="A230" s="8" t="str">
        <f>IF($D230="","","LP"&amp;TEXT(ROWS($A$2:A230),"000"))</f>
        <v/>
      </c>
      <c r="B230" s="8" t="str">
        <f>IF($D230="","",IFERROR(INDEX('02_能力差距自评'!$Q:$Q,MATCH($D230,'02_能力差距自评'!$F:$F,0)),""))</f>
        <v/>
      </c>
      <c r="C230" s="8" t="str">
        <f>IF($D230="","",IFERROR(INDEX('02_能力差距自评'!$R:$R,MATCH($D230,'02_能力差距自评'!$F:$F,0)),""))</f>
        <v/>
      </c>
      <c r="D230" s="8" t="str">
        <f>IFERROR(INDEX('02_能力差距自评'!$F$2:$F$311,MATCH(ROWS($D$2:D230),'02_能力差距自评'!$W$2:$W$311,0)),"")</f>
        <v/>
      </c>
      <c r="E230" s="8" t="str">
        <f>IF($D230="","",INDEX('02_能力差距自评'!$G:$G,MATCH($D230,'02_能力差距自评'!$F:$F,0)))</f>
        <v/>
      </c>
      <c r="F230" s="8" t="str">
        <f>IF($D230="","",INDEX('02_能力差距自评'!$C:$C,MATCH($D230,'02_能力差距自评'!$F:$F,0)))</f>
        <v/>
      </c>
      <c r="G230" s="8" t="str">
        <f>IF($D230="","",INDEX('02_能力差距自评'!$E:$E,MATCH($D230,'02_能力差距自评'!$F:$F,0)))</f>
        <v/>
      </c>
      <c r="H230" s="8" t="str">
        <f>IF($D230="","",INDEX('02_能力差距自评'!$L:$L,MATCH($D230,'02_能力差距自评'!$F:$F,0)))</f>
        <v/>
      </c>
      <c r="I230" s="8" t="str">
        <f>IF($D230="","",INDEX('02_能力差距自评'!$M:$M,MATCH($D230,'02_能力差距自评'!$F:$F,0)))</f>
        <v/>
      </c>
      <c r="J230" s="8" t="str">
        <f>IF($D230="","",INDEX('02_能力差距自评'!$N:$N,MATCH($D230,'02_能力差距自评'!$F:$F,0)))</f>
        <v/>
      </c>
      <c r="K230" s="8" t="str">
        <f>IF($D230="","",INDEX('02_能力差距自评'!$O:$O,MATCH($D230,'02_能力差距自评'!$F:$F,0)))</f>
        <v/>
      </c>
      <c r="L230" s="8" t="str">
        <f>IF($D230="","",INDEX('02_能力差距自评'!$I:$I,MATCH($D230,'02_能力差距自评'!$F:$F,0)))</f>
        <v/>
      </c>
      <c r="M230" s="8" t="str">
        <f t="shared" si="6"/>
        <v/>
      </c>
      <c r="N230" s="8" t="str">
        <f>IF($D230="","",INDEX('02_能力差距自评'!$J:$J,MATCH($D230,'02_能力差距自评'!$F:$F,0)))</f>
        <v/>
      </c>
      <c r="O230" s="8" t="str">
        <f>IF($D230="","",INDEX('02_能力差距自评'!$K:$K,MATCH($D230,'02_能力差距自评'!$F:$F,0)))</f>
        <v/>
      </c>
      <c r="P230" s="8"/>
      <c r="Q230" s="8"/>
      <c r="R230" s="8"/>
      <c r="S230" s="8" t="str">
        <f t="shared" si="7"/>
        <v/>
      </c>
      <c r="T230" s="8"/>
      <c r="U230" s="8"/>
      <c r="V230" s="8"/>
    </row>
    <row r="231" spans="1:22">
      <c r="A231" s="8" t="str">
        <f>IF($D231="","","LP"&amp;TEXT(ROWS($A$2:A231),"000"))</f>
        <v/>
      </c>
      <c r="B231" s="8" t="str">
        <f>IF($D231="","",IFERROR(INDEX('02_能力差距自评'!$Q:$Q,MATCH($D231,'02_能力差距自评'!$F:$F,0)),""))</f>
        <v/>
      </c>
      <c r="C231" s="8" t="str">
        <f>IF($D231="","",IFERROR(INDEX('02_能力差距自评'!$R:$R,MATCH($D231,'02_能力差距自评'!$F:$F,0)),""))</f>
        <v/>
      </c>
      <c r="D231" s="8" t="str">
        <f>IFERROR(INDEX('02_能力差距自评'!$F$2:$F$311,MATCH(ROWS($D$2:D231),'02_能力差距自评'!$W$2:$W$311,0)),"")</f>
        <v/>
      </c>
      <c r="E231" s="8" t="str">
        <f>IF($D231="","",INDEX('02_能力差距自评'!$G:$G,MATCH($D231,'02_能力差距自评'!$F:$F,0)))</f>
        <v/>
      </c>
      <c r="F231" s="8" t="str">
        <f>IF($D231="","",INDEX('02_能力差距自评'!$C:$C,MATCH($D231,'02_能力差距自评'!$F:$F,0)))</f>
        <v/>
      </c>
      <c r="G231" s="8" t="str">
        <f>IF($D231="","",INDEX('02_能力差距自评'!$E:$E,MATCH($D231,'02_能力差距自评'!$F:$F,0)))</f>
        <v/>
      </c>
      <c r="H231" s="8" t="str">
        <f>IF($D231="","",INDEX('02_能力差距自评'!$L:$L,MATCH($D231,'02_能力差距自评'!$F:$F,0)))</f>
        <v/>
      </c>
      <c r="I231" s="8" t="str">
        <f>IF($D231="","",INDEX('02_能力差距自评'!$M:$M,MATCH($D231,'02_能力差距自评'!$F:$F,0)))</f>
        <v/>
      </c>
      <c r="J231" s="8" t="str">
        <f>IF($D231="","",INDEX('02_能力差距自评'!$N:$N,MATCH($D231,'02_能力差距自评'!$F:$F,0)))</f>
        <v/>
      </c>
      <c r="K231" s="8" t="str">
        <f>IF($D231="","",INDEX('02_能力差距自评'!$O:$O,MATCH($D231,'02_能力差距自评'!$F:$F,0)))</f>
        <v/>
      </c>
      <c r="L231" s="8" t="str">
        <f>IF($D231="","",INDEX('02_能力差距自评'!$I:$I,MATCH($D231,'02_能力差距自评'!$F:$F,0)))</f>
        <v/>
      </c>
      <c r="M231" s="8" t="str">
        <f t="shared" si="6"/>
        <v/>
      </c>
      <c r="N231" s="8" t="str">
        <f>IF($D231="","",INDEX('02_能力差距自评'!$J:$J,MATCH($D231,'02_能力差距自评'!$F:$F,0)))</f>
        <v/>
      </c>
      <c r="O231" s="8" t="str">
        <f>IF($D231="","",INDEX('02_能力差距自评'!$K:$K,MATCH($D231,'02_能力差距自评'!$F:$F,0)))</f>
        <v/>
      </c>
      <c r="P231" s="8"/>
      <c r="Q231" s="8"/>
      <c r="R231" s="8"/>
      <c r="S231" s="8" t="str">
        <f t="shared" si="7"/>
        <v/>
      </c>
      <c r="T231" s="8"/>
      <c r="U231" s="8"/>
      <c r="V231" s="8"/>
    </row>
    <row r="232" spans="1:22">
      <c r="A232" s="8" t="str">
        <f>IF($D232="","","LP"&amp;TEXT(ROWS($A$2:A232),"000"))</f>
        <v/>
      </c>
      <c r="B232" s="8" t="str">
        <f>IF($D232="","",IFERROR(INDEX('02_能力差距自评'!$Q:$Q,MATCH($D232,'02_能力差距自评'!$F:$F,0)),""))</f>
        <v/>
      </c>
      <c r="C232" s="8" t="str">
        <f>IF($D232="","",IFERROR(INDEX('02_能力差距自评'!$R:$R,MATCH($D232,'02_能力差距自评'!$F:$F,0)),""))</f>
        <v/>
      </c>
      <c r="D232" s="8" t="str">
        <f>IFERROR(INDEX('02_能力差距自评'!$F$2:$F$311,MATCH(ROWS($D$2:D232),'02_能力差距自评'!$W$2:$W$311,0)),"")</f>
        <v/>
      </c>
      <c r="E232" s="8" t="str">
        <f>IF($D232="","",INDEX('02_能力差距自评'!$G:$G,MATCH($D232,'02_能力差距自评'!$F:$F,0)))</f>
        <v/>
      </c>
      <c r="F232" s="8" t="str">
        <f>IF($D232="","",INDEX('02_能力差距自评'!$C:$C,MATCH($D232,'02_能力差距自评'!$F:$F,0)))</f>
        <v/>
      </c>
      <c r="G232" s="8" t="str">
        <f>IF($D232="","",INDEX('02_能力差距自评'!$E:$E,MATCH($D232,'02_能力差距自评'!$F:$F,0)))</f>
        <v/>
      </c>
      <c r="H232" s="8" t="str">
        <f>IF($D232="","",INDEX('02_能力差距自评'!$L:$L,MATCH($D232,'02_能力差距自评'!$F:$F,0)))</f>
        <v/>
      </c>
      <c r="I232" s="8" t="str">
        <f>IF($D232="","",INDEX('02_能力差距自评'!$M:$M,MATCH($D232,'02_能力差距自评'!$F:$F,0)))</f>
        <v/>
      </c>
      <c r="J232" s="8" t="str">
        <f>IF($D232="","",INDEX('02_能力差距自评'!$N:$N,MATCH($D232,'02_能力差距自评'!$F:$F,0)))</f>
        <v/>
      </c>
      <c r="K232" s="8" t="str">
        <f>IF($D232="","",INDEX('02_能力差距自评'!$O:$O,MATCH($D232,'02_能力差距自评'!$F:$F,0)))</f>
        <v/>
      </c>
      <c r="L232" s="8" t="str">
        <f>IF($D232="","",INDEX('02_能力差距自评'!$I:$I,MATCH($D232,'02_能力差距自评'!$F:$F,0)))</f>
        <v/>
      </c>
      <c r="M232" s="8" t="str">
        <f t="shared" si="6"/>
        <v/>
      </c>
      <c r="N232" s="8" t="str">
        <f>IF($D232="","",INDEX('02_能力差距自评'!$J:$J,MATCH($D232,'02_能力差距自评'!$F:$F,0)))</f>
        <v/>
      </c>
      <c r="O232" s="8" t="str">
        <f>IF($D232="","",INDEX('02_能力差距自评'!$K:$K,MATCH($D232,'02_能力差距自评'!$F:$F,0)))</f>
        <v/>
      </c>
      <c r="P232" s="8"/>
      <c r="Q232" s="8"/>
      <c r="R232" s="8"/>
      <c r="S232" s="8" t="str">
        <f t="shared" si="7"/>
        <v/>
      </c>
      <c r="T232" s="8"/>
      <c r="U232" s="8"/>
      <c r="V232" s="8"/>
    </row>
    <row r="233" spans="1:22">
      <c r="A233" s="8" t="str">
        <f>IF($D233="","","LP"&amp;TEXT(ROWS($A$2:A233),"000"))</f>
        <v/>
      </c>
      <c r="B233" s="8" t="str">
        <f>IF($D233="","",IFERROR(INDEX('02_能力差距自评'!$Q:$Q,MATCH($D233,'02_能力差距自评'!$F:$F,0)),""))</f>
        <v/>
      </c>
      <c r="C233" s="8" t="str">
        <f>IF($D233="","",IFERROR(INDEX('02_能力差距自评'!$R:$R,MATCH($D233,'02_能力差距自评'!$F:$F,0)),""))</f>
        <v/>
      </c>
      <c r="D233" s="8" t="str">
        <f>IFERROR(INDEX('02_能力差距自评'!$F$2:$F$311,MATCH(ROWS($D$2:D233),'02_能力差距自评'!$W$2:$W$311,0)),"")</f>
        <v/>
      </c>
      <c r="E233" s="8" t="str">
        <f>IF($D233="","",INDEX('02_能力差距自评'!$G:$G,MATCH($D233,'02_能力差距自评'!$F:$F,0)))</f>
        <v/>
      </c>
      <c r="F233" s="8" t="str">
        <f>IF($D233="","",INDEX('02_能力差距自评'!$C:$C,MATCH($D233,'02_能力差距自评'!$F:$F,0)))</f>
        <v/>
      </c>
      <c r="G233" s="8" t="str">
        <f>IF($D233="","",INDEX('02_能力差距自评'!$E:$E,MATCH($D233,'02_能力差距自评'!$F:$F,0)))</f>
        <v/>
      </c>
      <c r="H233" s="8" t="str">
        <f>IF($D233="","",INDEX('02_能力差距自评'!$L:$L,MATCH($D233,'02_能力差距自评'!$F:$F,0)))</f>
        <v/>
      </c>
      <c r="I233" s="8" t="str">
        <f>IF($D233="","",INDEX('02_能力差距自评'!$M:$M,MATCH($D233,'02_能力差距自评'!$F:$F,0)))</f>
        <v/>
      </c>
      <c r="J233" s="8" t="str">
        <f>IF($D233="","",INDEX('02_能力差距自评'!$N:$N,MATCH($D233,'02_能力差距自评'!$F:$F,0)))</f>
        <v/>
      </c>
      <c r="K233" s="8" t="str">
        <f>IF($D233="","",INDEX('02_能力差距自评'!$O:$O,MATCH($D233,'02_能力差距自评'!$F:$F,0)))</f>
        <v/>
      </c>
      <c r="L233" s="8" t="str">
        <f>IF($D233="","",INDEX('02_能力差距自评'!$I:$I,MATCH($D233,'02_能力差距自评'!$F:$F,0)))</f>
        <v/>
      </c>
      <c r="M233" s="8" t="str">
        <f t="shared" si="6"/>
        <v/>
      </c>
      <c r="N233" s="8" t="str">
        <f>IF($D233="","",INDEX('02_能力差距自评'!$J:$J,MATCH($D233,'02_能力差距自评'!$F:$F,0)))</f>
        <v/>
      </c>
      <c r="O233" s="8" t="str">
        <f>IF($D233="","",INDEX('02_能力差距自评'!$K:$K,MATCH($D233,'02_能力差距自评'!$F:$F,0)))</f>
        <v/>
      </c>
      <c r="P233" s="8"/>
      <c r="Q233" s="8"/>
      <c r="R233" s="8"/>
      <c r="S233" s="8" t="str">
        <f t="shared" si="7"/>
        <v/>
      </c>
      <c r="T233" s="8"/>
      <c r="U233" s="8"/>
      <c r="V233" s="8"/>
    </row>
    <row r="234" spans="1:22">
      <c r="A234" s="8" t="str">
        <f>IF($D234="","","LP"&amp;TEXT(ROWS($A$2:A234),"000"))</f>
        <v/>
      </c>
      <c r="B234" s="8" t="str">
        <f>IF($D234="","",IFERROR(INDEX('02_能力差距自评'!$Q:$Q,MATCH($D234,'02_能力差距自评'!$F:$F,0)),""))</f>
        <v/>
      </c>
      <c r="C234" s="8" t="str">
        <f>IF($D234="","",IFERROR(INDEX('02_能力差距自评'!$R:$R,MATCH($D234,'02_能力差距自评'!$F:$F,0)),""))</f>
        <v/>
      </c>
      <c r="D234" s="8" t="str">
        <f>IFERROR(INDEX('02_能力差距自评'!$F$2:$F$311,MATCH(ROWS($D$2:D234),'02_能力差距自评'!$W$2:$W$311,0)),"")</f>
        <v/>
      </c>
      <c r="E234" s="8" t="str">
        <f>IF($D234="","",INDEX('02_能力差距自评'!$G:$G,MATCH($D234,'02_能力差距自评'!$F:$F,0)))</f>
        <v/>
      </c>
      <c r="F234" s="8" t="str">
        <f>IF($D234="","",INDEX('02_能力差距自评'!$C:$C,MATCH($D234,'02_能力差距自评'!$F:$F,0)))</f>
        <v/>
      </c>
      <c r="G234" s="8" t="str">
        <f>IF($D234="","",INDEX('02_能力差距自评'!$E:$E,MATCH($D234,'02_能力差距自评'!$F:$F,0)))</f>
        <v/>
      </c>
      <c r="H234" s="8" t="str">
        <f>IF($D234="","",INDEX('02_能力差距自评'!$L:$L,MATCH($D234,'02_能力差距自评'!$F:$F,0)))</f>
        <v/>
      </c>
      <c r="I234" s="8" t="str">
        <f>IF($D234="","",INDEX('02_能力差距自评'!$M:$M,MATCH($D234,'02_能力差距自评'!$F:$F,0)))</f>
        <v/>
      </c>
      <c r="J234" s="8" t="str">
        <f>IF($D234="","",INDEX('02_能力差距自评'!$N:$N,MATCH($D234,'02_能力差距自评'!$F:$F,0)))</f>
        <v/>
      </c>
      <c r="K234" s="8" t="str">
        <f>IF($D234="","",INDEX('02_能力差距自评'!$O:$O,MATCH($D234,'02_能力差距自评'!$F:$F,0)))</f>
        <v/>
      </c>
      <c r="L234" s="8" t="str">
        <f>IF($D234="","",INDEX('02_能力差距自评'!$I:$I,MATCH($D234,'02_能力差距自评'!$F:$F,0)))</f>
        <v/>
      </c>
      <c r="M234" s="8" t="str">
        <f t="shared" si="6"/>
        <v/>
      </c>
      <c r="N234" s="8" t="str">
        <f>IF($D234="","",INDEX('02_能力差距自评'!$J:$J,MATCH($D234,'02_能力差距自评'!$F:$F,0)))</f>
        <v/>
      </c>
      <c r="O234" s="8" t="str">
        <f>IF($D234="","",INDEX('02_能力差距自评'!$K:$K,MATCH($D234,'02_能力差距自评'!$F:$F,0)))</f>
        <v/>
      </c>
      <c r="P234" s="8"/>
      <c r="Q234" s="8"/>
      <c r="R234" s="8"/>
      <c r="S234" s="8" t="str">
        <f t="shared" si="7"/>
        <v/>
      </c>
      <c r="T234" s="8"/>
      <c r="U234" s="8"/>
      <c r="V234" s="8"/>
    </row>
    <row r="235" spans="1:22">
      <c r="A235" s="8" t="str">
        <f>IF($D235="","","LP"&amp;TEXT(ROWS($A$2:A235),"000"))</f>
        <v/>
      </c>
      <c r="B235" s="8" t="str">
        <f>IF($D235="","",IFERROR(INDEX('02_能力差距自评'!$Q:$Q,MATCH($D235,'02_能力差距自评'!$F:$F,0)),""))</f>
        <v/>
      </c>
      <c r="C235" s="8" t="str">
        <f>IF($D235="","",IFERROR(INDEX('02_能力差距自评'!$R:$R,MATCH($D235,'02_能力差距自评'!$F:$F,0)),""))</f>
        <v/>
      </c>
      <c r="D235" s="8" t="str">
        <f>IFERROR(INDEX('02_能力差距自评'!$F$2:$F$311,MATCH(ROWS($D$2:D235),'02_能力差距自评'!$W$2:$W$311,0)),"")</f>
        <v/>
      </c>
      <c r="E235" s="8" t="str">
        <f>IF($D235="","",INDEX('02_能力差距自评'!$G:$G,MATCH($D235,'02_能力差距自评'!$F:$F,0)))</f>
        <v/>
      </c>
      <c r="F235" s="8" t="str">
        <f>IF($D235="","",INDEX('02_能力差距自评'!$C:$C,MATCH($D235,'02_能力差距自评'!$F:$F,0)))</f>
        <v/>
      </c>
      <c r="G235" s="8" t="str">
        <f>IF($D235="","",INDEX('02_能力差距自评'!$E:$E,MATCH($D235,'02_能力差距自评'!$F:$F,0)))</f>
        <v/>
      </c>
      <c r="H235" s="8" t="str">
        <f>IF($D235="","",INDEX('02_能力差距自评'!$L:$L,MATCH($D235,'02_能力差距自评'!$F:$F,0)))</f>
        <v/>
      </c>
      <c r="I235" s="8" t="str">
        <f>IF($D235="","",INDEX('02_能力差距自评'!$M:$M,MATCH($D235,'02_能力差距自评'!$F:$F,0)))</f>
        <v/>
      </c>
      <c r="J235" s="8" t="str">
        <f>IF($D235="","",INDEX('02_能力差距自评'!$N:$N,MATCH($D235,'02_能力差距自评'!$F:$F,0)))</f>
        <v/>
      </c>
      <c r="K235" s="8" t="str">
        <f>IF($D235="","",INDEX('02_能力差距自评'!$O:$O,MATCH($D235,'02_能力差距自评'!$F:$F,0)))</f>
        <v/>
      </c>
      <c r="L235" s="8" t="str">
        <f>IF($D235="","",INDEX('02_能力差距自评'!$I:$I,MATCH($D235,'02_能力差距自评'!$F:$F,0)))</f>
        <v/>
      </c>
      <c r="M235" s="8" t="str">
        <f t="shared" si="6"/>
        <v/>
      </c>
      <c r="N235" s="8" t="str">
        <f>IF($D235="","",INDEX('02_能力差距自评'!$J:$J,MATCH($D235,'02_能力差距自评'!$F:$F,0)))</f>
        <v/>
      </c>
      <c r="O235" s="8" t="str">
        <f>IF($D235="","",INDEX('02_能力差距自评'!$K:$K,MATCH($D235,'02_能力差距自评'!$F:$F,0)))</f>
        <v/>
      </c>
      <c r="P235" s="8"/>
      <c r="Q235" s="8"/>
      <c r="R235" s="8"/>
      <c r="S235" s="8" t="str">
        <f t="shared" si="7"/>
        <v/>
      </c>
      <c r="T235" s="8"/>
      <c r="U235" s="8"/>
      <c r="V235" s="8"/>
    </row>
    <row r="236" spans="1:22">
      <c r="A236" s="8" t="str">
        <f>IF($D236="","","LP"&amp;TEXT(ROWS($A$2:A236),"000"))</f>
        <v/>
      </c>
      <c r="B236" s="8" t="str">
        <f>IF($D236="","",IFERROR(INDEX('02_能力差距自评'!$Q:$Q,MATCH($D236,'02_能力差距自评'!$F:$F,0)),""))</f>
        <v/>
      </c>
      <c r="C236" s="8" t="str">
        <f>IF($D236="","",IFERROR(INDEX('02_能力差距自评'!$R:$R,MATCH($D236,'02_能力差距自评'!$F:$F,0)),""))</f>
        <v/>
      </c>
      <c r="D236" s="8" t="str">
        <f>IFERROR(INDEX('02_能力差距自评'!$F$2:$F$311,MATCH(ROWS($D$2:D236),'02_能力差距自评'!$W$2:$W$311,0)),"")</f>
        <v/>
      </c>
      <c r="E236" s="8" t="str">
        <f>IF($D236="","",INDEX('02_能力差距自评'!$G:$G,MATCH($D236,'02_能力差距自评'!$F:$F,0)))</f>
        <v/>
      </c>
      <c r="F236" s="8" t="str">
        <f>IF($D236="","",INDEX('02_能力差距自评'!$C:$C,MATCH($D236,'02_能力差距自评'!$F:$F,0)))</f>
        <v/>
      </c>
      <c r="G236" s="8" t="str">
        <f>IF($D236="","",INDEX('02_能力差距自评'!$E:$E,MATCH($D236,'02_能力差距自评'!$F:$F,0)))</f>
        <v/>
      </c>
      <c r="H236" s="8" t="str">
        <f>IF($D236="","",INDEX('02_能力差距自评'!$L:$L,MATCH($D236,'02_能力差距自评'!$F:$F,0)))</f>
        <v/>
      </c>
      <c r="I236" s="8" t="str">
        <f>IF($D236="","",INDEX('02_能力差距自评'!$M:$M,MATCH($D236,'02_能力差距自评'!$F:$F,0)))</f>
        <v/>
      </c>
      <c r="J236" s="8" t="str">
        <f>IF($D236="","",INDEX('02_能力差距自评'!$N:$N,MATCH($D236,'02_能力差距自评'!$F:$F,0)))</f>
        <v/>
      </c>
      <c r="K236" s="8" t="str">
        <f>IF($D236="","",INDEX('02_能力差距自评'!$O:$O,MATCH($D236,'02_能力差距自评'!$F:$F,0)))</f>
        <v/>
      </c>
      <c r="L236" s="8" t="str">
        <f>IF($D236="","",INDEX('02_能力差距自评'!$I:$I,MATCH($D236,'02_能力差距自评'!$F:$F,0)))</f>
        <v/>
      </c>
      <c r="M236" s="8" t="str">
        <f t="shared" si="6"/>
        <v/>
      </c>
      <c r="N236" s="8" t="str">
        <f>IF($D236="","",INDEX('02_能力差距自评'!$J:$J,MATCH($D236,'02_能力差距自评'!$F:$F,0)))</f>
        <v/>
      </c>
      <c r="O236" s="8" t="str">
        <f>IF($D236="","",INDEX('02_能力差距自评'!$K:$K,MATCH($D236,'02_能力差距自评'!$F:$F,0)))</f>
        <v/>
      </c>
      <c r="P236" s="8"/>
      <c r="Q236" s="8"/>
      <c r="R236" s="8"/>
      <c r="S236" s="8" t="str">
        <f t="shared" si="7"/>
        <v/>
      </c>
      <c r="T236" s="8"/>
      <c r="U236" s="8"/>
      <c r="V236" s="8"/>
    </row>
    <row r="237" spans="1:22">
      <c r="A237" s="8" t="str">
        <f>IF($D237="","","LP"&amp;TEXT(ROWS($A$2:A237),"000"))</f>
        <v/>
      </c>
      <c r="B237" s="8" t="str">
        <f>IF($D237="","",IFERROR(INDEX('02_能力差距自评'!$Q:$Q,MATCH($D237,'02_能力差距自评'!$F:$F,0)),""))</f>
        <v/>
      </c>
      <c r="C237" s="8" t="str">
        <f>IF($D237="","",IFERROR(INDEX('02_能力差距自评'!$R:$R,MATCH($D237,'02_能力差距自评'!$F:$F,0)),""))</f>
        <v/>
      </c>
      <c r="D237" s="8" t="str">
        <f>IFERROR(INDEX('02_能力差距自评'!$F$2:$F$311,MATCH(ROWS($D$2:D237),'02_能力差距自评'!$W$2:$W$311,0)),"")</f>
        <v/>
      </c>
      <c r="E237" s="8" t="str">
        <f>IF($D237="","",INDEX('02_能力差距自评'!$G:$G,MATCH($D237,'02_能力差距自评'!$F:$F,0)))</f>
        <v/>
      </c>
      <c r="F237" s="8" t="str">
        <f>IF($D237="","",INDEX('02_能力差距自评'!$C:$C,MATCH($D237,'02_能力差距自评'!$F:$F,0)))</f>
        <v/>
      </c>
      <c r="G237" s="8" t="str">
        <f>IF($D237="","",INDEX('02_能力差距自评'!$E:$E,MATCH($D237,'02_能力差距自评'!$F:$F,0)))</f>
        <v/>
      </c>
      <c r="H237" s="8" t="str">
        <f>IF($D237="","",INDEX('02_能力差距自评'!$L:$L,MATCH($D237,'02_能力差距自评'!$F:$F,0)))</f>
        <v/>
      </c>
      <c r="I237" s="8" t="str">
        <f>IF($D237="","",INDEX('02_能力差距自评'!$M:$M,MATCH($D237,'02_能力差距自评'!$F:$F,0)))</f>
        <v/>
      </c>
      <c r="J237" s="8" t="str">
        <f>IF($D237="","",INDEX('02_能力差距自评'!$N:$N,MATCH($D237,'02_能力差距自评'!$F:$F,0)))</f>
        <v/>
      </c>
      <c r="K237" s="8" t="str">
        <f>IF($D237="","",INDEX('02_能力差距自评'!$O:$O,MATCH($D237,'02_能力差距自评'!$F:$F,0)))</f>
        <v/>
      </c>
      <c r="L237" s="8" t="str">
        <f>IF($D237="","",INDEX('02_能力差距自评'!$I:$I,MATCH($D237,'02_能力差距自评'!$F:$F,0)))</f>
        <v/>
      </c>
      <c r="M237" s="8" t="str">
        <f t="shared" si="6"/>
        <v/>
      </c>
      <c r="N237" s="8" t="str">
        <f>IF($D237="","",INDEX('02_能力差距自评'!$J:$J,MATCH($D237,'02_能力差距自评'!$F:$F,0)))</f>
        <v/>
      </c>
      <c r="O237" s="8" t="str">
        <f>IF($D237="","",INDEX('02_能力差距自评'!$K:$K,MATCH($D237,'02_能力差距自评'!$F:$F,0)))</f>
        <v/>
      </c>
      <c r="P237" s="8"/>
      <c r="Q237" s="8"/>
      <c r="R237" s="8"/>
      <c r="S237" s="8" t="str">
        <f t="shared" si="7"/>
        <v/>
      </c>
      <c r="T237" s="8"/>
      <c r="U237" s="8"/>
      <c r="V237" s="8"/>
    </row>
    <row r="238" spans="1:22">
      <c r="A238" s="8" t="str">
        <f>IF($D238="","","LP"&amp;TEXT(ROWS($A$2:A238),"000"))</f>
        <v/>
      </c>
      <c r="B238" s="8" t="str">
        <f>IF($D238="","",IFERROR(INDEX('02_能力差距自评'!$Q:$Q,MATCH($D238,'02_能力差距自评'!$F:$F,0)),""))</f>
        <v/>
      </c>
      <c r="C238" s="8" t="str">
        <f>IF($D238="","",IFERROR(INDEX('02_能力差距自评'!$R:$R,MATCH($D238,'02_能力差距自评'!$F:$F,0)),""))</f>
        <v/>
      </c>
      <c r="D238" s="8" t="str">
        <f>IFERROR(INDEX('02_能力差距自评'!$F$2:$F$311,MATCH(ROWS($D$2:D238),'02_能力差距自评'!$W$2:$W$311,0)),"")</f>
        <v/>
      </c>
      <c r="E238" s="8" t="str">
        <f>IF($D238="","",INDEX('02_能力差距自评'!$G:$G,MATCH($D238,'02_能力差距自评'!$F:$F,0)))</f>
        <v/>
      </c>
      <c r="F238" s="8" t="str">
        <f>IF($D238="","",INDEX('02_能力差距自评'!$C:$C,MATCH($D238,'02_能力差距自评'!$F:$F,0)))</f>
        <v/>
      </c>
      <c r="G238" s="8" t="str">
        <f>IF($D238="","",INDEX('02_能力差距自评'!$E:$E,MATCH($D238,'02_能力差距自评'!$F:$F,0)))</f>
        <v/>
      </c>
      <c r="H238" s="8" t="str">
        <f>IF($D238="","",INDEX('02_能力差距自评'!$L:$L,MATCH($D238,'02_能力差距自评'!$F:$F,0)))</f>
        <v/>
      </c>
      <c r="I238" s="8" t="str">
        <f>IF($D238="","",INDEX('02_能力差距自评'!$M:$M,MATCH($D238,'02_能力差距自评'!$F:$F,0)))</f>
        <v/>
      </c>
      <c r="J238" s="8" t="str">
        <f>IF($D238="","",INDEX('02_能力差距自评'!$N:$N,MATCH($D238,'02_能力差距自评'!$F:$F,0)))</f>
        <v/>
      </c>
      <c r="K238" s="8" t="str">
        <f>IF($D238="","",INDEX('02_能力差距自评'!$O:$O,MATCH($D238,'02_能力差距自评'!$F:$F,0)))</f>
        <v/>
      </c>
      <c r="L238" s="8" t="str">
        <f>IF($D238="","",INDEX('02_能力差距自评'!$I:$I,MATCH($D238,'02_能力差距自评'!$F:$F,0)))</f>
        <v/>
      </c>
      <c r="M238" s="8" t="str">
        <f t="shared" si="6"/>
        <v/>
      </c>
      <c r="N238" s="8" t="str">
        <f>IF($D238="","",INDEX('02_能力差距自评'!$J:$J,MATCH($D238,'02_能力差距自评'!$F:$F,0)))</f>
        <v/>
      </c>
      <c r="O238" s="8" t="str">
        <f>IF($D238="","",INDEX('02_能力差距自评'!$K:$K,MATCH($D238,'02_能力差距自评'!$F:$F,0)))</f>
        <v/>
      </c>
      <c r="P238" s="8"/>
      <c r="Q238" s="8"/>
      <c r="R238" s="8"/>
      <c r="S238" s="8" t="str">
        <f t="shared" si="7"/>
        <v/>
      </c>
      <c r="T238" s="8"/>
      <c r="U238" s="8"/>
      <c r="V238" s="8"/>
    </row>
    <row r="239" spans="1:22">
      <c r="A239" s="8" t="str">
        <f>IF($D239="","","LP"&amp;TEXT(ROWS($A$2:A239),"000"))</f>
        <v/>
      </c>
      <c r="B239" s="8" t="str">
        <f>IF($D239="","",IFERROR(INDEX('02_能力差距自评'!$Q:$Q,MATCH($D239,'02_能力差距自评'!$F:$F,0)),""))</f>
        <v/>
      </c>
      <c r="C239" s="8" t="str">
        <f>IF($D239="","",IFERROR(INDEX('02_能力差距自评'!$R:$R,MATCH($D239,'02_能力差距自评'!$F:$F,0)),""))</f>
        <v/>
      </c>
      <c r="D239" s="8" t="str">
        <f>IFERROR(INDEX('02_能力差距自评'!$F$2:$F$311,MATCH(ROWS($D$2:D239),'02_能力差距自评'!$W$2:$W$311,0)),"")</f>
        <v/>
      </c>
      <c r="E239" s="8" t="str">
        <f>IF($D239="","",INDEX('02_能力差距自评'!$G:$G,MATCH($D239,'02_能力差距自评'!$F:$F,0)))</f>
        <v/>
      </c>
      <c r="F239" s="8" t="str">
        <f>IF($D239="","",INDEX('02_能力差距自评'!$C:$C,MATCH($D239,'02_能力差距自评'!$F:$F,0)))</f>
        <v/>
      </c>
      <c r="G239" s="8" t="str">
        <f>IF($D239="","",INDEX('02_能力差距自评'!$E:$E,MATCH($D239,'02_能力差距自评'!$F:$F,0)))</f>
        <v/>
      </c>
      <c r="H239" s="8" t="str">
        <f>IF($D239="","",INDEX('02_能力差距自评'!$L:$L,MATCH($D239,'02_能力差距自评'!$F:$F,0)))</f>
        <v/>
      </c>
      <c r="I239" s="8" t="str">
        <f>IF($D239="","",INDEX('02_能力差距自评'!$M:$M,MATCH($D239,'02_能力差距自评'!$F:$F,0)))</f>
        <v/>
      </c>
      <c r="J239" s="8" t="str">
        <f>IF($D239="","",INDEX('02_能力差距自评'!$N:$N,MATCH($D239,'02_能力差距自评'!$F:$F,0)))</f>
        <v/>
      </c>
      <c r="K239" s="8" t="str">
        <f>IF($D239="","",INDEX('02_能力差距自评'!$O:$O,MATCH($D239,'02_能力差距自评'!$F:$F,0)))</f>
        <v/>
      </c>
      <c r="L239" s="8" t="str">
        <f>IF($D239="","",INDEX('02_能力差距自评'!$I:$I,MATCH($D239,'02_能力差距自评'!$F:$F,0)))</f>
        <v/>
      </c>
      <c r="M239" s="8" t="str">
        <f t="shared" si="6"/>
        <v/>
      </c>
      <c r="N239" s="8" t="str">
        <f>IF($D239="","",INDEX('02_能力差距自评'!$J:$J,MATCH($D239,'02_能力差距自评'!$F:$F,0)))</f>
        <v/>
      </c>
      <c r="O239" s="8" t="str">
        <f>IF($D239="","",INDEX('02_能力差距自评'!$K:$K,MATCH($D239,'02_能力差距自评'!$F:$F,0)))</f>
        <v/>
      </c>
      <c r="P239" s="8"/>
      <c r="Q239" s="8"/>
      <c r="R239" s="8"/>
      <c r="S239" s="8" t="str">
        <f t="shared" si="7"/>
        <v/>
      </c>
      <c r="T239" s="8"/>
      <c r="U239" s="8"/>
      <c r="V239" s="8"/>
    </row>
    <row r="240" spans="1:22">
      <c r="A240" s="8" t="str">
        <f>IF($D240="","","LP"&amp;TEXT(ROWS($A$2:A240),"000"))</f>
        <v/>
      </c>
      <c r="B240" s="8" t="str">
        <f>IF($D240="","",IFERROR(INDEX('02_能力差距自评'!$Q:$Q,MATCH($D240,'02_能力差距自评'!$F:$F,0)),""))</f>
        <v/>
      </c>
      <c r="C240" s="8" t="str">
        <f>IF($D240="","",IFERROR(INDEX('02_能力差距自评'!$R:$R,MATCH($D240,'02_能力差距自评'!$F:$F,0)),""))</f>
        <v/>
      </c>
      <c r="D240" s="8" t="str">
        <f>IFERROR(INDEX('02_能力差距自评'!$F$2:$F$311,MATCH(ROWS($D$2:D240),'02_能力差距自评'!$W$2:$W$311,0)),"")</f>
        <v/>
      </c>
      <c r="E240" s="8" t="str">
        <f>IF($D240="","",INDEX('02_能力差距自评'!$G:$G,MATCH($D240,'02_能力差距自评'!$F:$F,0)))</f>
        <v/>
      </c>
      <c r="F240" s="8" t="str">
        <f>IF($D240="","",INDEX('02_能力差距自评'!$C:$C,MATCH($D240,'02_能力差距自评'!$F:$F,0)))</f>
        <v/>
      </c>
      <c r="G240" s="8" t="str">
        <f>IF($D240="","",INDEX('02_能力差距自评'!$E:$E,MATCH($D240,'02_能力差距自评'!$F:$F,0)))</f>
        <v/>
      </c>
      <c r="H240" s="8" t="str">
        <f>IF($D240="","",INDEX('02_能力差距自评'!$L:$L,MATCH($D240,'02_能力差距自评'!$F:$F,0)))</f>
        <v/>
      </c>
      <c r="I240" s="8" t="str">
        <f>IF($D240="","",INDEX('02_能力差距自评'!$M:$M,MATCH($D240,'02_能力差距自评'!$F:$F,0)))</f>
        <v/>
      </c>
      <c r="J240" s="8" t="str">
        <f>IF($D240="","",INDEX('02_能力差距自评'!$N:$N,MATCH($D240,'02_能力差距自评'!$F:$F,0)))</f>
        <v/>
      </c>
      <c r="K240" s="8" t="str">
        <f>IF($D240="","",INDEX('02_能力差距自评'!$O:$O,MATCH($D240,'02_能力差距自评'!$F:$F,0)))</f>
        <v/>
      </c>
      <c r="L240" s="8" t="str">
        <f>IF($D240="","",INDEX('02_能力差距自评'!$I:$I,MATCH($D240,'02_能力差距自评'!$F:$F,0)))</f>
        <v/>
      </c>
      <c r="M240" s="8" t="str">
        <f t="shared" si="6"/>
        <v/>
      </c>
      <c r="N240" s="8" t="str">
        <f>IF($D240="","",INDEX('02_能力差距自评'!$J:$J,MATCH($D240,'02_能力差距自评'!$F:$F,0)))</f>
        <v/>
      </c>
      <c r="O240" s="8" t="str">
        <f>IF($D240="","",INDEX('02_能力差距自评'!$K:$K,MATCH($D240,'02_能力差距自评'!$F:$F,0)))</f>
        <v/>
      </c>
      <c r="P240" s="8"/>
      <c r="Q240" s="8"/>
      <c r="R240" s="8"/>
      <c r="S240" s="8" t="str">
        <f t="shared" si="7"/>
        <v/>
      </c>
      <c r="T240" s="8"/>
      <c r="U240" s="8"/>
      <c r="V240" s="8"/>
    </row>
    <row r="241" spans="1:22">
      <c r="A241" s="8" t="str">
        <f>IF($D241="","","LP"&amp;TEXT(ROWS($A$2:A241),"000"))</f>
        <v/>
      </c>
      <c r="B241" s="8" t="str">
        <f>IF($D241="","",IFERROR(INDEX('02_能力差距自评'!$Q:$Q,MATCH($D241,'02_能力差距自评'!$F:$F,0)),""))</f>
        <v/>
      </c>
      <c r="C241" s="8" t="str">
        <f>IF($D241="","",IFERROR(INDEX('02_能力差距自评'!$R:$R,MATCH($D241,'02_能力差距自评'!$F:$F,0)),""))</f>
        <v/>
      </c>
      <c r="D241" s="8" t="str">
        <f>IFERROR(INDEX('02_能力差距自评'!$F$2:$F$311,MATCH(ROWS($D$2:D241),'02_能力差距自评'!$W$2:$W$311,0)),"")</f>
        <v/>
      </c>
      <c r="E241" s="8" t="str">
        <f>IF($D241="","",INDEX('02_能力差距自评'!$G:$G,MATCH($D241,'02_能力差距自评'!$F:$F,0)))</f>
        <v/>
      </c>
      <c r="F241" s="8" t="str">
        <f>IF($D241="","",INDEX('02_能力差距自评'!$C:$C,MATCH($D241,'02_能力差距自评'!$F:$F,0)))</f>
        <v/>
      </c>
      <c r="G241" s="8" t="str">
        <f>IF($D241="","",INDEX('02_能力差距自评'!$E:$E,MATCH($D241,'02_能力差距自评'!$F:$F,0)))</f>
        <v/>
      </c>
      <c r="H241" s="8" t="str">
        <f>IF($D241="","",INDEX('02_能力差距自评'!$L:$L,MATCH($D241,'02_能力差距自评'!$F:$F,0)))</f>
        <v/>
      </c>
      <c r="I241" s="8" t="str">
        <f>IF($D241="","",INDEX('02_能力差距自评'!$M:$M,MATCH($D241,'02_能力差距自评'!$F:$F,0)))</f>
        <v/>
      </c>
      <c r="J241" s="8" t="str">
        <f>IF($D241="","",INDEX('02_能力差距自评'!$N:$N,MATCH($D241,'02_能力差距自评'!$F:$F,0)))</f>
        <v/>
      </c>
      <c r="K241" s="8" t="str">
        <f>IF($D241="","",INDEX('02_能力差距自评'!$O:$O,MATCH($D241,'02_能力差距自评'!$F:$F,0)))</f>
        <v/>
      </c>
      <c r="L241" s="8" t="str">
        <f>IF($D241="","",INDEX('02_能力差距自评'!$I:$I,MATCH($D241,'02_能力差距自评'!$F:$F,0)))</f>
        <v/>
      </c>
      <c r="M241" s="8" t="str">
        <f t="shared" si="6"/>
        <v/>
      </c>
      <c r="N241" s="8" t="str">
        <f>IF($D241="","",INDEX('02_能力差距自评'!$J:$J,MATCH($D241,'02_能力差距自评'!$F:$F,0)))</f>
        <v/>
      </c>
      <c r="O241" s="8" t="str">
        <f>IF($D241="","",INDEX('02_能力差距自评'!$K:$K,MATCH($D241,'02_能力差距自评'!$F:$F,0)))</f>
        <v/>
      </c>
      <c r="P241" s="8"/>
      <c r="Q241" s="8"/>
      <c r="R241" s="8"/>
      <c r="S241" s="8" t="str">
        <f t="shared" si="7"/>
        <v/>
      </c>
      <c r="T241" s="8"/>
      <c r="U241" s="8"/>
      <c r="V241" s="8"/>
    </row>
    <row r="242" spans="1:22">
      <c r="A242" s="8" t="str">
        <f>IF($D242="","","LP"&amp;TEXT(ROWS($A$2:A242),"000"))</f>
        <v/>
      </c>
      <c r="B242" s="8" t="str">
        <f>IF($D242="","",IFERROR(INDEX('02_能力差距自评'!$Q:$Q,MATCH($D242,'02_能力差距自评'!$F:$F,0)),""))</f>
        <v/>
      </c>
      <c r="C242" s="8" t="str">
        <f>IF($D242="","",IFERROR(INDEX('02_能力差距自评'!$R:$R,MATCH($D242,'02_能力差距自评'!$F:$F,0)),""))</f>
        <v/>
      </c>
      <c r="D242" s="8" t="str">
        <f>IFERROR(INDEX('02_能力差距自评'!$F$2:$F$311,MATCH(ROWS($D$2:D242),'02_能力差距自评'!$W$2:$W$311,0)),"")</f>
        <v/>
      </c>
      <c r="E242" s="8" t="str">
        <f>IF($D242="","",INDEX('02_能力差距自评'!$G:$G,MATCH($D242,'02_能力差距自评'!$F:$F,0)))</f>
        <v/>
      </c>
      <c r="F242" s="8" t="str">
        <f>IF($D242="","",INDEX('02_能力差距自评'!$C:$C,MATCH($D242,'02_能力差距自评'!$F:$F,0)))</f>
        <v/>
      </c>
      <c r="G242" s="8" t="str">
        <f>IF($D242="","",INDEX('02_能力差距自评'!$E:$E,MATCH($D242,'02_能力差距自评'!$F:$F,0)))</f>
        <v/>
      </c>
      <c r="H242" s="8" t="str">
        <f>IF($D242="","",INDEX('02_能力差距自评'!$L:$L,MATCH($D242,'02_能力差距自评'!$F:$F,0)))</f>
        <v/>
      </c>
      <c r="I242" s="8" t="str">
        <f>IF($D242="","",INDEX('02_能力差距自评'!$M:$M,MATCH($D242,'02_能力差距自评'!$F:$F,0)))</f>
        <v/>
      </c>
      <c r="J242" s="8" t="str">
        <f>IF($D242="","",INDEX('02_能力差距自评'!$N:$N,MATCH($D242,'02_能力差距自评'!$F:$F,0)))</f>
        <v/>
      </c>
      <c r="K242" s="8" t="str">
        <f>IF($D242="","",INDEX('02_能力差距自评'!$O:$O,MATCH($D242,'02_能力差距自评'!$F:$F,0)))</f>
        <v/>
      </c>
      <c r="L242" s="8" t="str">
        <f>IF($D242="","",INDEX('02_能力差距自评'!$I:$I,MATCH($D242,'02_能力差距自评'!$F:$F,0)))</f>
        <v/>
      </c>
      <c r="M242" s="8" t="str">
        <f t="shared" si="6"/>
        <v/>
      </c>
      <c r="N242" s="8" t="str">
        <f>IF($D242="","",INDEX('02_能力差距自评'!$J:$J,MATCH($D242,'02_能力差距自评'!$F:$F,0)))</f>
        <v/>
      </c>
      <c r="O242" s="8" t="str">
        <f>IF($D242="","",INDEX('02_能力差距自评'!$K:$K,MATCH($D242,'02_能力差距自评'!$F:$F,0)))</f>
        <v/>
      </c>
      <c r="P242" s="8"/>
      <c r="Q242" s="8"/>
      <c r="R242" s="8"/>
      <c r="S242" s="8" t="str">
        <f t="shared" si="7"/>
        <v/>
      </c>
      <c r="T242" s="8"/>
      <c r="U242" s="8"/>
      <c r="V242" s="8"/>
    </row>
    <row r="243" spans="1:22">
      <c r="A243" s="8" t="str">
        <f>IF($D243="","","LP"&amp;TEXT(ROWS($A$2:A243),"000"))</f>
        <v/>
      </c>
      <c r="B243" s="8" t="str">
        <f>IF($D243="","",IFERROR(INDEX('02_能力差距自评'!$Q:$Q,MATCH($D243,'02_能力差距自评'!$F:$F,0)),""))</f>
        <v/>
      </c>
      <c r="C243" s="8" t="str">
        <f>IF($D243="","",IFERROR(INDEX('02_能力差距自评'!$R:$R,MATCH($D243,'02_能力差距自评'!$F:$F,0)),""))</f>
        <v/>
      </c>
      <c r="D243" s="8" t="str">
        <f>IFERROR(INDEX('02_能力差距自评'!$F$2:$F$311,MATCH(ROWS($D$2:D243),'02_能力差距自评'!$W$2:$W$311,0)),"")</f>
        <v/>
      </c>
      <c r="E243" s="8" t="str">
        <f>IF($D243="","",INDEX('02_能力差距自评'!$G:$G,MATCH($D243,'02_能力差距自评'!$F:$F,0)))</f>
        <v/>
      </c>
      <c r="F243" s="8" t="str">
        <f>IF($D243="","",INDEX('02_能力差距自评'!$C:$C,MATCH($D243,'02_能力差距自评'!$F:$F,0)))</f>
        <v/>
      </c>
      <c r="G243" s="8" t="str">
        <f>IF($D243="","",INDEX('02_能力差距自评'!$E:$E,MATCH($D243,'02_能力差距自评'!$F:$F,0)))</f>
        <v/>
      </c>
      <c r="H243" s="8" t="str">
        <f>IF($D243="","",INDEX('02_能力差距自评'!$L:$L,MATCH($D243,'02_能力差距自评'!$F:$F,0)))</f>
        <v/>
      </c>
      <c r="I243" s="8" t="str">
        <f>IF($D243="","",INDEX('02_能力差距自评'!$M:$M,MATCH($D243,'02_能力差距自评'!$F:$F,0)))</f>
        <v/>
      </c>
      <c r="J243" s="8" t="str">
        <f>IF($D243="","",INDEX('02_能力差距自评'!$N:$N,MATCH($D243,'02_能力差距自评'!$F:$F,0)))</f>
        <v/>
      </c>
      <c r="K243" s="8" t="str">
        <f>IF($D243="","",INDEX('02_能力差距自评'!$O:$O,MATCH($D243,'02_能力差距自评'!$F:$F,0)))</f>
        <v/>
      </c>
      <c r="L243" s="8" t="str">
        <f>IF($D243="","",INDEX('02_能力差距自评'!$I:$I,MATCH($D243,'02_能力差距自评'!$F:$F,0)))</f>
        <v/>
      </c>
      <c r="M243" s="8" t="str">
        <f t="shared" si="6"/>
        <v/>
      </c>
      <c r="N243" s="8" t="str">
        <f>IF($D243="","",INDEX('02_能力差距自评'!$J:$J,MATCH($D243,'02_能力差距自评'!$F:$F,0)))</f>
        <v/>
      </c>
      <c r="O243" s="8" t="str">
        <f>IF($D243="","",INDEX('02_能力差距自评'!$K:$K,MATCH($D243,'02_能力差距自评'!$F:$F,0)))</f>
        <v/>
      </c>
      <c r="P243" s="8"/>
      <c r="Q243" s="8"/>
      <c r="R243" s="8"/>
      <c r="S243" s="8" t="str">
        <f t="shared" si="7"/>
        <v/>
      </c>
      <c r="T243" s="8"/>
      <c r="U243" s="8"/>
      <c r="V243" s="8"/>
    </row>
    <row r="244" spans="1:22">
      <c r="A244" s="8" t="str">
        <f>IF($D244="","","LP"&amp;TEXT(ROWS($A$2:A244),"000"))</f>
        <v/>
      </c>
      <c r="B244" s="8" t="str">
        <f>IF($D244="","",IFERROR(INDEX('02_能力差距自评'!$Q:$Q,MATCH($D244,'02_能力差距自评'!$F:$F,0)),""))</f>
        <v/>
      </c>
      <c r="C244" s="8" t="str">
        <f>IF($D244="","",IFERROR(INDEX('02_能力差距自评'!$R:$R,MATCH($D244,'02_能力差距自评'!$F:$F,0)),""))</f>
        <v/>
      </c>
      <c r="D244" s="8" t="str">
        <f>IFERROR(INDEX('02_能力差距自评'!$F$2:$F$311,MATCH(ROWS($D$2:D244),'02_能力差距自评'!$W$2:$W$311,0)),"")</f>
        <v/>
      </c>
      <c r="E244" s="8" t="str">
        <f>IF($D244="","",INDEX('02_能力差距自评'!$G:$G,MATCH($D244,'02_能力差距自评'!$F:$F,0)))</f>
        <v/>
      </c>
      <c r="F244" s="8" t="str">
        <f>IF($D244="","",INDEX('02_能力差距自评'!$C:$C,MATCH($D244,'02_能力差距自评'!$F:$F,0)))</f>
        <v/>
      </c>
      <c r="G244" s="8" t="str">
        <f>IF($D244="","",INDEX('02_能力差距自评'!$E:$E,MATCH($D244,'02_能力差距自评'!$F:$F,0)))</f>
        <v/>
      </c>
      <c r="H244" s="8" t="str">
        <f>IF($D244="","",INDEX('02_能力差距自评'!$L:$L,MATCH($D244,'02_能力差距自评'!$F:$F,0)))</f>
        <v/>
      </c>
      <c r="I244" s="8" t="str">
        <f>IF($D244="","",INDEX('02_能力差距自评'!$M:$M,MATCH($D244,'02_能力差距自评'!$F:$F,0)))</f>
        <v/>
      </c>
      <c r="J244" s="8" t="str">
        <f>IF($D244="","",INDEX('02_能力差距自评'!$N:$N,MATCH($D244,'02_能力差距自评'!$F:$F,0)))</f>
        <v/>
      </c>
      <c r="K244" s="8" t="str">
        <f>IF($D244="","",INDEX('02_能力差距自评'!$O:$O,MATCH($D244,'02_能力差距自评'!$F:$F,0)))</f>
        <v/>
      </c>
      <c r="L244" s="8" t="str">
        <f>IF($D244="","",INDEX('02_能力差距自评'!$I:$I,MATCH($D244,'02_能力差距自评'!$F:$F,0)))</f>
        <v/>
      </c>
      <c r="M244" s="8" t="str">
        <f t="shared" si="6"/>
        <v/>
      </c>
      <c r="N244" s="8" t="str">
        <f>IF($D244="","",INDEX('02_能力差距自评'!$J:$J,MATCH($D244,'02_能力差距自评'!$F:$F,0)))</f>
        <v/>
      </c>
      <c r="O244" s="8" t="str">
        <f>IF($D244="","",INDEX('02_能力差距自评'!$K:$K,MATCH($D244,'02_能力差距自评'!$F:$F,0)))</f>
        <v/>
      </c>
      <c r="P244" s="8"/>
      <c r="Q244" s="8"/>
      <c r="R244" s="8"/>
      <c r="S244" s="8" t="str">
        <f t="shared" si="7"/>
        <v/>
      </c>
      <c r="T244" s="8"/>
      <c r="U244" s="8"/>
      <c r="V244" s="8"/>
    </row>
    <row r="245" spans="1:22">
      <c r="A245" s="8" t="str">
        <f>IF($D245="","","LP"&amp;TEXT(ROWS($A$2:A245),"000"))</f>
        <v/>
      </c>
      <c r="B245" s="8" t="str">
        <f>IF($D245="","",IFERROR(INDEX('02_能力差距自评'!$Q:$Q,MATCH($D245,'02_能力差距自评'!$F:$F,0)),""))</f>
        <v/>
      </c>
      <c r="C245" s="8" t="str">
        <f>IF($D245="","",IFERROR(INDEX('02_能力差距自评'!$R:$R,MATCH($D245,'02_能力差距自评'!$F:$F,0)),""))</f>
        <v/>
      </c>
      <c r="D245" s="8" t="str">
        <f>IFERROR(INDEX('02_能力差距自评'!$F$2:$F$311,MATCH(ROWS($D$2:D245),'02_能力差距自评'!$W$2:$W$311,0)),"")</f>
        <v/>
      </c>
      <c r="E245" s="8" t="str">
        <f>IF($D245="","",INDEX('02_能力差距自评'!$G:$G,MATCH($D245,'02_能力差距自评'!$F:$F,0)))</f>
        <v/>
      </c>
      <c r="F245" s="8" t="str">
        <f>IF($D245="","",INDEX('02_能力差距自评'!$C:$C,MATCH($D245,'02_能力差距自评'!$F:$F,0)))</f>
        <v/>
      </c>
      <c r="G245" s="8" t="str">
        <f>IF($D245="","",INDEX('02_能力差距自评'!$E:$E,MATCH($D245,'02_能力差距自评'!$F:$F,0)))</f>
        <v/>
      </c>
      <c r="H245" s="8" t="str">
        <f>IF($D245="","",INDEX('02_能力差距自评'!$L:$L,MATCH($D245,'02_能力差距自评'!$F:$F,0)))</f>
        <v/>
      </c>
      <c r="I245" s="8" t="str">
        <f>IF($D245="","",INDEX('02_能力差距自评'!$M:$M,MATCH($D245,'02_能力差距自评'!$F:$F,0)))</f>
        <v/>
      </c>
      <c r="J245" s="8" t="str">
        <f>IF($D245="","",INDEX('02_能力差距自评'!$N:$N,MATCH($D245,'02_能力差距自评'!$F:$F,0)))</f>
        <v/>
      </c>
      <c r="K245" s="8" t="str">
        <f>IF($D245="","",INDEX('02_能力差距自评'!$O:$O,MATCH($D245,'02_能力差距自评'!$F:$F,0)))</f>
        <v/>
      </c>
      <c r="L245" s="8" t="str">
        <f>IF($D245="","",INDEX('02_能力差距自评'!$I:$I,MATCH($D245,'02_能力差距自评'!$F:$F,0)))</f>
        <v/>
      </c>
      <c r="M245" s="8" t="str">
        <f t="shared" si="6"/>
        <v/>
      </c>
      <c r="N245" s="8" t="str">
        <f>IF($D245="","",INDEX('02_能力差距自评'!$J:$J,MATCH($D245,'02_能力差距自评'!$F:$F,0)))</f>
        <v/>
      </c>
      <c r="O245" s="8" t="str">
        <f>IF($D245="","",INDEX('02_能力差距自评'!$K:$K,MATCH($D245,'02_能力差距自评'!$F:$F,0)))</f>
        <v/>
      </c>
      <c r="P245" s="8"/>
      <c r="Q245" s="8"/>
      <c r="R245" s="8"/>
      <c r="S245" s="8" t="str">
        <f t="shared" si="7"/>
        <v/>
      </c>
      <c r="T245" s="8"/>
      <c r="U245" s="8"/>
      <c r="V245" s="8"/>
    </row>
    <row r="246" spans="1:22">
      <c r="A246" s="8" t="str">
        <f>IF($D246="","","LP"&amp;TEXT(ROWS($A$2:A246),"000"))</f>
        <v/>
      </c>
      <c r="B246" s="8" t="str">
        <f>IF($D246="","",IFERROR(INDEX('02_能力差距自评'!$Q:$Q,MATCH($D246,'02_能力差距自评'!$F:$F,0)),""))</f>
        <v/>
      </c>
      <c r="C246" s="8" t="str">
        <f>IF($D246="","",IFERROR(INDEX('02_能力差距自评'!$R:$R,MATCH($D246,'02_能力差距自评'!$F:$F,0)),""))</f>
        <v/>
      </c>
      <c r="D246" s="8" t="str">
        <f>IFERROR(INDEX('02_能力差距自评'!$F$2:$F$311,MATCH(ROWS($D$2:D246),'02_能力差距自评'!$W$2:$W$311,0)),"")</f>
        <v/>
      </c>
      <c r="E246" s="8" t="str">
        <f>IF($D246="","",INDEX('02_能力差距自评'!$G:$G,MATCH($D246,'02_能力差距自评'!$F:$F,0)))</f>
        <v/>
      </c>
      <c r="F246" s="8" t="str">
        <f>IF($D246="","",INDEX('02_能力差距自评'!$C:$C,MATCH($D246,'02_能力差距自评'!$F:$F,0)))</f>
        <v/>
      </c>
      <c r="G246" s="8" t="str">
        <f>IF($D246="","",INDEX('02_能力差距自评'!$E:$E,MATCH($D246,'02_能力差距自评'!$F:$F,0)))</f>
        <v/>
      </c>
      <c r="H246" s="8" t="str">
        <f>IF($D246="","",INDEX('02_能力差距自评'!$L:$L,MATCH($D246,'02_能力差距自评'!$F:$F,0)))</f>
        <v/>
      </c>
      <c r="I246" s="8" t="str">
        <f>IF($D246="","",INDEX('02_能力差距自评'!$M:$M,MATCH($D246,'02_能力差距自评'!$F:$F,0)))</f>
        <v/>
      </c>
      <c r="J246" s="8" t="str">
        <f>IF($D246="","",INDEX('02_能力差距自评'!$N:$N,MATCH($D246,'02_能力差距自评'!$F:$F,0)))</f>
        <v/>
      </c>
      <c r="K246" s="8" t="str">
        <f>IF($D246="","",INDEX('02_能力差距自评'!$O:$O,MATCH($D246,'02_能力差距自评'!$F:$F,0)))</f>
        <v/>
      </c>
      <c r="L246" s="8" t="str">
        <f>IF($D246="","",INDEX('02_能力差距自评'!$I:$I,MATCH($D246,'02_能力差距自评'!$F:$F,0)))</f>
        <v/>
      </c>
      <c r="M246" s="8" t="str">
        <f t="shared" si="6"/>
        <v/>
      </c>
      <c r="N246" s="8" t="str">
        <f>IF($D246="","",INDEX('02_能力差距自评'!$J:$J,MATCH($D246,'02_能力差距自评'!$F:$F,0)))</f>
        <v/>
      </c>
      <c r="O246" s="8" t="str">
        <f>IF($D246="","",INDEX('02_能力差距自评'!$K:$K,MATCH($D246,'02_能力差距自评'!$F:$F,0)))</f>
        <v/>
      </c>
      <c r="P246" s="8"/>
      <c r="Q246" s="8"/>
      <c r="R246" s="8"/>
      <c r="S246" s="8" t="str">
        <f t="shared" si="7"/>
        <v/>
      </c>
      <c r="T246" s="8"/>
      <c r="U246" s="8"/>
      <c r="V246" s="8"/>
    </row>
    <row r="247" spans="1:22">
      <c r="A247" s="8" t="str">
        <f>IF($D247="","","LP"&amp;TEXT(ROWS($A$2:A247),"000"))</f>
        <v/>
      </c>
      <c r="B247" s="8" t="str">
        <f>IF($D247="","",IFERROR(INDEX('02_能力差距自评'!$Q:$Q,MATCH($D247,'02_能力差距自评'!$F:$F,0)),""))</f>
        <v/>
      </c>
      <c r="C247" s="8" t="str">
        <f>IF($D247="","",IFERROR(INDEX('02_能力差距自评'!$R:$R,MATCH($D247,'02_能力差距自评'!$F:$F,0)),""))</f>
        <v/>
      </c>
      <c r="D247" s="8" t="str">
        <f>IFERROR(INDEX('02_能力差距自评'!$F$2:$F$311,MATCH(ROWS($D$2:D247),'02_能力差距自评'!$W$2:$W$311,0)),"")</f>
        <v/>
      </c>
      <c r="E247" s="8" t="str">
        <f>IF($D247="","",INDEX('02_能力差距自评'!$G:$G,MATCH($D247,'02_能力差距自评'!$F:$F,0)))</f>
        <v/>
      </c>
      <c r="F247" s="8" t="str">
        <f>IF($D247="","",INDEX('02_能力差距自评'!$C:$C,MATCH($D247,'02_能力差距自评'!$F:$F,0)))</f>
        <v/>
      </c>
      <c r="G247" s="8" t="str">
        <f>IF($D247="","",INDEX('02_能力差距自评'!$E:$E,MATCH($D247,'02_能力差距自评'!$F:$F,0)))</f>
        <v/>
      </c>
      <c r="H247" s="8" t="str">
        <f>IF($D247="","",INDEX('02_能力差距自评'!$L:$L,MATCH($D247,'02_能力差距自评'!$F:$F,0)))</f>
        <v/>
      </c>
      <c r="I247" s="8" t="str">
        <f>IF($D247="","",INDEX('02_能力差距自评'!$M:$M,MATCH($D247,'02_能力差距自评'!$F:$F,0)))</f>
        <v/>
      </c>
      <c r="J247" s="8" t="str">
        <f>IF($D247="","",INDEX('02_能力差距自评'!$N:$N,MATCH($D247,'02_能力差距自评'!$F:$F,0)))</f>
        <v/>
      </c>
      <c r="K247" s="8" t="str">
        <f>IF($D247="","",INDEX('02_能力差距自评'!$O:$O,MATCH($D247,'02_能力差距自评'!$F:$F,0)))</f>
        <v/>
      </c>
      <c r="L247" s="8" t="str">
        <f>IF($D247="","",INDEX('02_能力差距自评'!$I:$I,MATCH($D247,'02_能力差距自评'!$F:$F,0)))</f>
        <v/>
      </c>
      <c r="M247" s="8" t="str">
        <f t="shared" si="6"/>
        <v/>
      </c>
      <c r="N247" s="8" t="str">
        <f>IF($D247="","",INDEX('02_能力差距自评'!$J:$J,MATCH($D247,'02_能力差距自评'!$F:$F,0)))</f>
        <v/>
      </c>
      <c r="O247" s="8" t="str">
        <f>IF($D247="","",INDEX('02_能力差距自评'!$K:$K,MATCH($D247,'02_能力差距自评'!$F:$F,0)))</f>
        <v/>
      </c>
      <c r="P247" s="8"/>
      <c r="Q247" s="8"/>
      <c r="R247" s="8"/>
      <c r="S247" s="8" t="str">
        <f t="shared" si="7"/>
        <v/>
      </c>
      <c r="T247" s="8"/>
      <c r="U247" s="8"/>
      <c r="V247" s="8"/>
    </row>
    <row r="248" spans="1:22">
      <c r="A248" s="8" t="str">
        <f>IF($D248="","","LP"&amp;TEXT(ROWS($A$2:A248),"000"))</f>
        <v/>
      </c>
      <c r="B248" s="8" t="str">
        <f>IF($D248="","",IFERROR(INDEX('02_能力差距自评'!$Q:$Q,MATCH($D248,'02_能力差距自评'!$F:$F,0)),""))</f>
        <v/>
      </c>
      <c r="C248" s="8" t="str">
        <f>IF($D248="","",IFERROR(INDEX('02_能力差距自评'!$R:$R,MATCH($D248,'02_能力差距自评'!$F:$F,0)),""))</f>
        <v/>
      </c>
      <c r="D248" s="8" t="str">
        <f>IFERROR(INDEX('02_能力差距自评'!$F$2:$F$311,MATCH(ROWS($D$2:D248),'02_能力差距自评'!$W$2:$W$311,0)),"")</f>
        <v/>
      </c>
      <c r="E248" s="8" t="str">
        <f>IF($D248="","",INDEX('02_能力差距自评'!$G:$G,MATCH($D248,'02_能力差距自评'!$F:$F,0)))</f>
        <v/>
      </c>
      <c r="F248" s="8" t="str">
        <f>IF($D248="","",INDEX('02_能力差距自评'!$C:$C,MATCH($D248,'02_能力差距自评'!$F:$F,0)))</f>
        <v/>
      </c>
      <c r="G248" s="8" t="str">
        <f>IF($D248="","",INDEX('02_能力差距自评'!$E:$E,MATCH($D248,'02_能力差距自评'!$F:$F,0)))</f>
        <v/>
      </c>
      <c r="H248" s="8" t="str">
        <f>IF($D248="","",INDEX('02_能力差距自评'!$L:$L,MATCH($D248,'02_能力差距自评'!$F:$F,0)))</f>
        <v/>
      </c>
      <c r="I248" s="8" t="str">
        <f>IF($D248="","",INDEX('02_能力差距自评'!$M:$M,MATCH($D248,'02_能力差距自评'!$F:$F,0)))</f>
        <v/>
      </c>
      <c r="J248" s="8" t="str">
        <f>IF($D248="","",INDEX('02_能力差距自评'!$N:$N,MATCH($D248,'02_能力差距自评'!$F:$F,0)))</f>
        <v/>
      </c>
      <c r="K248" s="8" t="str">
        <f>IF($D248="","",INDEX('02_能力差距自评'!$O:$O,MATCH($D248,'02_能力差距自评'!$F:$F,0)))</f>
        <v/>
      </c>
      <c r="L248" s="8" t="str">
        <f>IF($D248="","",INDEX('02_能力差距自评'!$I:$I,MATCH($D248,'02_能力差距自评'!$F:$F,0)))</f>
        <v/>
      </c>
      <c r="M248" s="8" t="str">
        <f t="shared" si="6"/>
        <v/>
      </c>
      <c r="N248" s="8" t="str">
        <f>IF($D248="","",INDEX('02_能力差距自评'!$J:$J,MATCH($D248,'02_能力差距自评'!$F:$F,0)))</f>
        <v/>
      </c>
      <c r="O248" s="8" t="str">
        <f>IF($D248="","",INDEX('02_能力差距自评'!$K:$K,MATCH($D248,'02_能力差距自评'!$F:$F,0)))</f>
        <v/>
      </c>
      <c r="P248" s="8"/>
      <c r="Q248" s="8"/>
      <c r="R248" s="8"/>
      <c r="S248" s="8" t="str">
        <f t="shared" si="7"/>
        <v/>
      </c>
      <c r="T248" s="8"/>
      <c r="U248" s="8"/>
      <c r="V248" s="8"/>
    </row>
    <row r="249" spans="1:22">
      <c r="A249" s="8" t="str">
        <f>IF($D249="","","LP"&amp;TEXT(ROWS($A$2:A249),"000"))</f>
        <v/>
      </c>
      <c r="B249" s="8" t="str">
        <f>IF($D249="","",IFERROR(INDEX('02_能力差距自评'!$Q:$Q,MATCH($D249,'02_能力差距自评'!$F:$F,0)),""))</f>
        <v/>
      </c>
      <c r="C249" s="8" t="str">
        <f>IF($D249="","",IFERROR(INDEX('02_能力差距自评'!$R:$R,MATCH($D249,'02_能力差距自评'!$F:$F,0)),""))</f>
        <v/>
      </c>
      <c r="D249" s="8" t="str">
        <f>IFERROR(INDEX('02_能力差距自评'!$F$2:$F$311,MATCH(ROWS($D$2:D249),'02_能力差距自评'!$W$2:$W$311,0)),"")</f>
        <v/>
      </c>
      <c r="E249" s="8" t="str">
        <f>IF($D249="","",INDEX('02_能力差距自评'!$G:$G,MATCH($D249,'02_能力差距自评'!$F:$F,0)))</f>
        <v/>
      </c>
      <c r="F249" s="8" t="str">
        <f>IF($D249="","",INDEX('02_能力差距自评'!$C:$C,MATCH($D249,'02_能力差距自评'!$F:$F,0)))</f>
        <v/>
      </c>
      <c r="G249" s="8" t="str">
        <f>IF($D249="","",INDEX('02_能力差距自评'!$E:$E,MATCH($D249,'02_能力差距自评'!$F:$F,0)))</f>
        <v/>
      </c>
      <c r="H249" s="8" t="str">
        <f>IF($D249="","",INDEX('02_能力差距自评'!$L:$L,MATCH($D249,'02_能力差距自评'!$F:$F,0)))</f>
        <v/>
      </c>
      <c r="I249" s="8" t="str">
        <f>IF($D249="","",INDEX('02_能力差距自评'!$M:$M,MATCH($D249,'02_能力差距自评'!$F:$F,0)))</f>
        <v/>
      </c>
      <c r="J249" s="8" t="str">
        <f>IF($D249="","",INDEX('02_能力差距自评'!$N:$N,MATCH($D249,'02_能力差距自评'!$F:$F,0)))</f>
        <v/>
      </c>
      <c r="K249" s="8" t="str">
        <f>IF($D249="","",INDEX('02_能力差距自评'!$O:$O,MATCH($D249,'02_能力差距自评'!$F:$F,0)))</f>
        <v/>
      </c>
      <c r="L249" s="8" t="str">
        <f>IF($D249="","",INDEX('02_能力差距自评'!$I:$I,MATCH($D249,'02_能力差距自评'!$F:$F,0)))</f>
        <v/>
      </c>
      <c r="M249" s="8" t="str">
        <f t="shared" si="6"/>
        <v/>
      </c>
      <c r="N249" s="8" t="str">
        <f>IF($D249="","",INDEX('02_能力差距自评'!$J:$J,MATCH($D249,'02_能力差距自评'!$F:$F,0)))</f>
        <v/>
      </c>
      <c r="O249" s="8" t="str">
        <f>IF($D249="","",INDEX('02_能力差距自评'!$K:$K,MATCH($D249,'02_能力差距自评'!$F:$F,0)))</f>
        <v/>
      </c>
      <c r="P249" s="8"/>
      <c r="Q249" s="8"/>
      <c r="R249" s="8"/>
      <c r="S249" s="8" t="str">
        <f t="shared" si="7"/>
        <v/>
      </c>
      <c r="T249" s="8"/>
      <c r="U249" s="8"/>
      <c r="V249" s="8"/>
    </row>
    <row r="250" spans="1:22">
      <c r="A250" s="8" t="str">
        <f>IF($D250="","","LP"&amp;TEXT(ROWS($A$2:A250),"000"))</f>
        <v/>
      </c>
      <c r="B250" s="8" t="str">
        <f>IF($D250="","",IFERROR(INDEX('02_能力差距自评'!$Q:$Q,MATCH($D250,'02_能力差距自评'!$F:$F,0)),""))</f>
        <v/>
      </c>
      <c r="C250" s="8" t="str">
        <f>IF($D250="","",IFERROR(INDEX('02_能力差距自评'!$R:$R,MATCH($D250,'02_能力差距自评'!$F:$F,0)),""))</f>
        <v/>
      </c>
      <c r="D250" s="8" t="str">
        <f>IFERROR(INDEX('02_能力差距自评'!$F$2:$F$311,MATCH(ROWS($D$2:D250),'02_能力差距自评'!$W$2:$W$311,0)),"")</f>
        <v/>
      </c>
      <c r="E250" s="8" t="str">
        <f>IF($D250="","",INDEX('02_能力差距自评'!$G:$G,MATCH($D250,'02_能力差距自评'!$F:$F,0)))</f>
        <v/>
      </c>
      <c r="F250" s="8" t="str">
        <f>IF($D250="","",INDEX('02_能力差距自评'!$C:$C,MATCH($D250,'02_能力差距自评'!$F:$F,0)))</f>
        <v/>
      </c>
      <c r="G250" s="8" t="str">
        <f>IF($D250="","",INDEX('02_能力差距自评'!$E:$E,MATCH($D250,'02_能力差距自评'!$F:$F,0)))</f>
        <v/>
      </c>
      <c r="H250" s="8" t="str">
        <f>IF($D250="","",INDEX('02_能力差距自评'!$L:$L,MATCH($D250,'02_能力差距自评'!$F:$F,0)))</f>
        <v/>
      </c>
      <c r="I250" s="8" t="str">
        <f>IF($D250="","",INDEX('02_能力差距自评'!$M:$M,MATCH($D250,'02_能力差距自评'!$F:$F,0)))</f>
        <v/>
      </c>
      <c r="J250" s="8" t="str">
        <f>IF($D250="","",INDEX('02_能力差距自评'!$N:$N,MATCH($D250,'02_能力差距自评'!$F:$F,0)))</f>
        <v/>
      </c>
      <c r="K250" s="8" t="str">
        <f>IF($D250="","",INDEX('02_能力差距自评'!$O:$O,MATCH($D250,'02_能力差距自评'!$F:$F,0)))</f>
        <v/>
      </c>
      <c r="L250" s="8" t="str">
        <f>IF($D250="","",INDEX('02_能力差距自评'!$I:$I,MATCH($D250,'02_能力差距自评'!$F:$F,0)))</f>
        <v/>
      </c>
      <c r="M250" s="8" t="str">
        <f t="shared" si="6"/>
        <v/>
      </c>
      <c r="N250" s="8" t="str">
        <f>IF($D250="","",INDEX('02_能力差距自评'!$J:$J,MATCH($D250,'02_能力差距自评'!$F:$F,0)))</f>
        <v/>
      </c>
      <c r="O250" s="8" t="str">
        <f>IF($D250="","",INDEX('02_能力差距自评'!$K:$K,MATCH($D250,'02_能力差距自评'!$F:$F,0)))</f>
        <v/>
      </c>
      <c r="P250" s="8"/>
      <c r="Q250" s="8"/>
      <c r="R250" s="8"/>
      <c r="S250" s="8" t="str">
        <f t="shared" si="7"/>
        <v/>
      </c>
      <c r="T250" s="8"/>
      <c r="U250" s="8"/>
      <c r="V250" s="8"/>
    </row>
    <row r="251" spans="1:22">
      <c r="A251" s="8" t="str">
        <f>IF($D251="","","LP"&amp;TEXT(ROWS($A$2:A251),"000"))</f>
        <v/>
      </c>
      <c r="B251" s="8" t="str">
        <f>IF($D251="","",IFERROR(INDEX('02_能力差距自评'!$Q:$Q,MATCH($D251,'02_能力差距自评'!$F:$F,0)),""))</f>
        <v/>
      </c>
      <c r="C251" s="8" t="str">
        <f>IF($D251="","",IFERROR(INDEX('02_能力差距自评'!$R:$R,MATCH($D251,'02_能力差距自评'!$F:$F,0)),""))</f>
        <v/>
      </c>
      <c r="D251" s="8" t="str">
        <f>IFERROR(INDEX('02_能力差距自评'!$F$2:$F$311,MATCH(ROWS($D$2:D251),'02_能力差距自评'!$W$2:$W$311,0)),"")</f>
        <v/>
      </c>
      <c r="E251" s="8" t="str">
        <f>IF($D251="","",INDEX('02_能力差距自评'!$G:$G,MATCH($D251,'02_能力差距自评'!$F:$F,0)))</f>
        <v/>
      </c>
      <c r="F251" s="8" t="str">
        <f>IF($D251="","",INDEX('02_能力差距自评'!$C:$C,MATCH($D251,'02_能力差距自评'!$F:$F,0)))</f>
        <v/>
      </c>
      <c r="G251" s="8" t="str">
        <f>IF($D251="","",INDEX('02_能力差距自评'!$E:$E,MATCH($D251,'02_能力差距自评'!$F:$F,0)))</f>
        <v/>
      </c>
      <c r="H251" s="8" t="str">
        <f>IF($D251="","",INDEX('02_能力差距自评'!$L:$L,MATCH($D251,'02_能力差距自评'!$F:$F,0)))</f>
        <v/>
      </c>
      <c r="I251" s="8" t="str">
        <f>IF($D251="","",INDEX('02_能力差距自评'!$M:$M,MATCH($D251,'02_能力差距自评'!$F:$F,0)))</f>
        <v/>
      </c>
      <c r="J251" s="8" t="str">
        <f>IF($D251="","",INDEX('02_能力差距自评'!$N:$N,MATCH($D251,'02_能力差距自评'!$F:$F,0)))</f>
        <v/>
      </c>
      <c r="K251" s="8" t="str">
        <f>IF($D251="","",INDEX('02_能力差距自评'!$O:$O,MATCH($D251,'02_能力差距自评'!$F:$F,0)))</f>
        <v/>
      </c>
      <c r="L251" s="8" t="str">
        <f>IF($D251="","",INDEX('02_能力差距自评'!$I:$I,MATCH($D251,'02_能力差距自评'!$F:$F,0)))</f>
        <v/>
      </c>
      <c r="M251" s="8" t="str">
        <f t="shared" si="6"/>
        <v/>
      </c>
      <c r="N251" s="8" t="str">
        <f>IF($D251="","",INDEX('02_能力差距自评'!$J:$J,MATCH($D251,'02_能力差距自评'!$F:$F,0)))</f>
        <v/>
      </c>
      <c r="O251" s="8" t="str">
        <f>IF($D251="","",INDEX('02_能力差距自评'!$K:$K,MATCH($D251,'02_能力差距自评'!$F:$F,0)))</f>
        <v/>
      </c>
      <c r="P251" s="8"/>
      <c r="Q251" s="8"/>
      <c r="R251" s="8"/>
      <c r="S251" s="8" t="str">
        <f t="shared" si="7"/>
        <v/>
      </c>
      <c r="T251" s="8"/>
      <c r="U251" s="8"/>
      <c r="V251" s="8"/>
    </row>
    <row r="252" spans="1:22">
      <c r="A252" s="8" t="str">
        <f>IF($D252="","","LP"&amp;TEXT(ROWS($A$2:A252),"000"))</f>
        <v/>
      </c>
      <c r="B252" s="8" t="str">
        <f>IF($D252="","",IFERROR(INDEX('02_能力差距自评'!$Q:$Q,MATCH($D252,'02_能力差距自评'!$F:$F,0)),""))</f>
        <v/>
      </c>
      <c r="C252" s="8" t="str">
        <f>IF($D252="","",IFERROR(INDEX('02_能力差距自评'!$R:$R,MATCH($D252,'02_能力差距自评'!$F:$F,0)),""))</f>
        <v/>
      </c>
      <c r="D252" s="8" t="str">
        <f>IFERROR(INDEX('02_能力差距自评'!$F$2:$F$311,MATCH(ROWS($D$2:D252),'02_能力差距自评'!$W$2:$W$311,0)),"")</f>
        <v/>
      </c>
      <c r="E252" s="8" t="str">
        <f>IF($D252="","",INDEX('02_能力差距自评'!$G:$G,MATCH($D252,'02_能力差距自评'!$F:$F,0)))</f>
        <v/>
      </c>
      <c r="F252" s="8" t="str">
        <f>IF($D252="","",INDEX('02_能力差距自评'!$C:$C,MATCH($D252,'02_能力差距自评'!$F:$F,0)))</f>
        <v/>
      </c>
      <c r="G252" s="8" t="str">
        <f>IF($D252="","",INDEX('02_能力差距自评'!$E:$E,MATCH($D252,'02_能力差距自评'!$F:$F,0)))</f>
        <v/>
      </c>
      <c r="H252" s="8" t="str">
        <f>IF($D252="","",INDEX('02_能力差距自评'!$L:$L,MATCH($D252,'02_能力差距自评'!$F:$F,0)))</f>
        <v/>
      </c>
      <c r="I252" s="8" t="str">
        <f>IF($D252="","",INDEX('02_能力差距自评'!$M:$M,MATCH($D252,'02_能力差距自评'!$F:$F,0)))</f>
        <v/>
      </c>
      <c r="J252" s="8" t="str">
        <f>IF($D252="","",INDEX('02_能力差距自评'!$N:$N,MATCH($D252,'02_能力差距自评'!$F:$F,0)))</f>
        <v/>
      </c>
      <c r="K252" s="8" t="str">
        <f>IF($D252="","",INDEX('02_能力差距自评'!$O:$O,MATCH($D252,'02_能力差距自评'!$F:$F,0)))</f>
        <v/>
      </c>
      <c r="L252" s="8" t="str">
        <f>IF($D252="","",INDEX('02_能力差距自评'!$I:$I,MATCH($D252,'02_能力差距自评'!$F:$F,0)))</f>
        <v/>
      </c>
      <c r="M252" s="8" t="str">
        <f t="shared" si="6"/>
        <v/>
      </c>
      <c r="N252" s="8" t="str">
        <f>IF($D252="","",INDEX('02_能力差距自评'!$J:$J,MATCH($D252,'02_能力差距自评'!$F:$F,0)))</f>
        <v/>
      </c>
      <c r="O252" s="8" t="str">
        <f>IF($D252="","",INDEX('02_能力差距自评'!$K:$K,MATCH($D252,'02_能力差距自评'!$F:$F,0)))</f>
        <v/>
      </c>
      <c r="P252" s="8"/>
      <c r="Q252" s="8"/>
      <c r="R252" s="8"/>
      <c r="S252" s="8" t="str">
        <f t="shared" si="7"/>
        <v/>
      </c>
      <c r="T252" s="8"/>
      <c r="U252" s="8"/>
      <c r="V252" s="8"/>
    </row>
    <row r="253" spans="1:22">
      <c r="A253" s="8" t="str">
        <f>IF($D253="","","LP"&amp;TEXT(ROWS($A$2:A253),"000"))</f>
        <v/>
      </c>
      <c r="B253" s="8" t="str">
        <f>IF($D253="","",IFERROR(INDEX('02_能力差距自评'!$Q:$Q,MATCH($D253,'02_能力差距自评'!$F:$F,0)),""))</f>
        <v/>
      </c>
      <c r="C253" s="8" t="str">
        <f>IF($D253="","",IFERROR(INDEX('02_能力差距自评'!$R:$R,MATCH($D253,'02_能力差距自评'!$F:$F,0)),""))</f>
        <v/>
      </c>
      <c r="D253" s="8" t="str">
        <f>IFERROR(INDEX('02_能力差距自评'!$F$2:$F$311,MATCH(ROWS($D$2:D253),'02_能力差距自评'!$W$2:$W$311,0)),"")</f>
        <v/>
      </c>
      <c r="E253" s="8" t="str">
        <f>IF($D253="","",INDEX('02_能力差距自评'!$G:$G,MATCH($D253,'02_能力差距自评'!$F:$F,0)))</f>
        <v/>
      </c>
      <c r="F253" s="8" t="str">
        <f>IF($D253="","",INDEX('02_能力差距自评'!$C:$C,MATCH($D253,'02_能力差距自评'!$F:$F,0)))</f>
        <v/>
      </c>
      <c r="G253" s="8" t="str">
        <f>IF($D253="","",INDEX('02_能力差距自评'!$E:$E,MATCH($D253,'02_能力差距自评'!$F:$F,0)))</f>
        <v/>
      </c>
      <c r="H253" s="8" t="str">
        <f>IF($D253="","",INDEX('02_能力差距自评'!$L:$L,MATCH($D253,'02_能力差距自评'!$F:$F,0)))</f>
        <v/>
      </c>
      <c r="I253" s="8" t="str">
        <f>IF($D253="","",INDEX('02_能力差距自评'!$M:$M,MATCH($D253,'02_能力差距自评'!$F:$F,0)))</f>
        <v/>
      </c>
      <c r="J253" s="8" t="str">
        <f>IF($D253="","",INDEX('02_能力差距自评'!$N:$N,MATCH($D253,'02_能力差距自评'!$F:$F,0)))</f>
        <v/>
      </c>
      <c r="K253" s="8" t="str">
        <f>IF($D253="","",INDEX('02_能力差距自评'!$O:$O,MATCH($D253,'02_能力差距自评'!$F:$F,0)))</f>
        <v/>
      </c>
      <c r="L253" s="8" t="str">
        <f>IF($D253="","",INDEX('02_能力差距自评'!$I:$I,MATCH($D253,'02_能力差距自评'!$F:$F,0)))</f>
        <v/>
      </c>
      <c r="M253" s="8" t="str">
        <f t="shared" si="6"/>
        <v/>
      </c>
      <c r="N253" s="8" t="str">
        <f>IF($D253="","",INDEX('02_能力差距自评'!$J:$J,MATCH($D253,'02_能力差距自评'!$F:$F,0)))</f>
        <v/>
      </c>
      <c r="O253" s="8" t="str">
        <f>IF($D253="","",INDEX('02_能力差距自评'!$K:$K,MATCH($D253,'02_能力差距自评'!$F:$F,0)))</f>
        <v/>
      </c>
      <c r="P253" s="8"/>
      <c r="Q253" s="8"/>
      <c r="R253" s="8"/>
      <c r="S253" s="8" t="str">
        <f t="shared" si="7"/>
        <v/>
      </c>
      <c r="T253" s="8"/>
      <c r="U253" s="8"/>
      <c r="V253" s="8"/>
    </row>
    <row r="254" spans="1:22">
      <c r="A254" s="8" t="str">
        <f>IF($D254="","","LP"&amp;TEXT(ROWS($A$2:A254),"000"))</f>
        <v/>
      </c>
      <c r="B254" s="8" t="str">
        <f>IF($D254="","",IFERROR(INDEX('02_能力差距自评'!$Q:$Q,MATCH($D254,'02_能力差距自评'!$F:$F,0)),""))</f>
        <v/>
      </c>
      <c r="C254" s="8" t="str">
        <f>IF($D254="","",IFERROR(INDEX('02_能力差距自评'!$R:$R,MATCH($D254,'02_能力差距自评'!$F:$F,0)),""))</f>
        <v/>
      </c>
      <c r="D254" s="8" t="str">
        <f>IFERROR(INDEX('02_能力差距自评'!$F$2:$F$311,MATCH(ROWS($D$2:D254),'02_能力差距自评'!$W$2:$W$311,0)),"")</f>
        <v/>
      </c>
      <c r="E254" s="8" t="str">
        <f>IF($D254="","",INDEX('02_能力差距自评'!$G:$G,MATCH($D254,'02_能力差距自评'!$F:$F,0)))</f>
        <v/>
      </c>
      <c r="F254" s="8" t="str">
        <f>IF($D254="","",INDEX('02_能力差距自评'!$C:$C,MATCH($D254,'02_能力差距自评'!$F:$F,0)))</f>
        <v/>
      </c>
      <c r="G254" s="8" t="str">
        <f>IF($D254="","",INDEX('02_能力差距自评'!$E:$E,MATCH($D254,'02_能力差距自评'!$F:$F,0)))</f>
        <v/>
      </c>
      <c r="H254" s="8" t="str">
        <f>IF($D254="","",INDEX('02_能力差距自评'!$L:$L,MATCH($D254,'02_能力差距自评'!$F:$F,0)))</f>
        <v/>
      </c>
      <c r="I254" s="8" t="str">
        <f>IF($D254="","",INDEX('02_能力差距自评'!$M:$M,MATCH($D254,'02_能力差距自评'!$F:$F,0)))</f>
        <v/>
      </c>
      <c r="J254" s="8" t="str">
        <f>IF($D254="","",INDEX('02_能力差距自评'!$N:$N,MATCH($D254,'02_能力差距自评'!$F:$F,0)))</f>
        <v/>
      </c>
      <c r="K254" s="8" t="str">
        <f>IF($D254="","",INDEX('02_能力差距自评'!$O:$O,MATCH($D254,'02_能力差距自评'!$F:$F,0)))</f>
        <v/>
      </c>
      <c r="L254" s="8" t="str">
        <f>IF($D254="","",INDEX('02_能力差距自评'!$I:$I,MATCH($D254,'02_能力差距自评'!$F:$F,0)))</f>
        <v/>
      </c>
      <c r="M254" s="8" t="str">
        <f t="shared" si="6"/>
        <v/>
      </c>
      <c r="N254" s="8" t="str">
        <f>IF($D254="","",INDEX('02_能力差距自评'!$J:$J,MATCH($D254,'02_能力差距自评'!$F:$F,0)))</f>
        <v/>
      </c>
      <c r="O254" s="8" t="str">
        <f>IF($D254="","",INDEX('02_能力差距自评'!$K:$K,MATCH($D254,'02_能力差距自评'!$F:$F,0)))</f>
        <v/>
      </c>
      <c r="P254" s="8"/>
      <c r="Q254" s="8"/>
      <c r="R254" s="8"/>
      <c r="S254" s="8" t="str">
        <f t="shared" si="7"/>
        <v/>
      </c>
      <c r="T254" s="8"/>
      <c r="U254" s="8"/>
      <c r="V254" s="8"/>
    </row>
    <row r="255" spans="1:22">
      <c r="A255" s="8" t="str">
        <f>IF($D255="","","LP"&amp;TEXT(ROWS($A$2:A255),"000"))</f>
        <v/>
      </c>
      <c r="B255" s="8" t="str">
        <f>IF($D255="","",IFERROR(INDEX('02_能力差距自评'!$Q:$Q,MATCH($D255,'02_能力差距自评'!$F:$F,0)),""))</f>
        <v/>
      </c>
      <c r="C255" s="8" t="str">
        <f>IF($D255="","",IFERROR(INDEX('02_能力差距自评'!$R:$R,MATCH($D255,'02_能力差距自评'!$F:$F,0)),""))</f>
        <v/>
      </c>
      <c r="D255" s="8" t="str">
        <f>IFERROR(INDEX('02_能力差距自评'!$F$2:$F$311,MATCH(ROWS($D$2:D255),'02_能力差距自评'!$W$2:$W$311,0)),"")</f>
        <v/>
      </c>
      <c r="E255" s="8" t="str">
        <f>IF($D255="","",INDEX('02_能力差距自评'!$G:$G,MATCH($D255,'02_能力差距自评'!$F:$F,0)))</f>
        <v/>
      </c>
      <c r="F255" s="8" t="str">
        <f>IF($D255="","",INDEX('02_能力差距自评'!$C:$C,MATCH($D255,'02_能力差距自评'!$F:$F,0)))</f>
        <v/>
      </c>
      <c r="G255" s="8" t="str">
        <f>IF($D255="","",INDEX('02_能力差距自评'!$E:$E,MATCH($D255,'02_能力差距自评'!$F:$F,0)))</f>
        <v/>
      </c>
      <c r="H255" s="8" t="str">
        <f>IF($D255="","",INDEX('02_能力差距自评'!$L:$L,MATCH($D255,'02_能力差距自评'!$F:$F,0)))</f>
        <v/>
      </c>
      <c r="I255" s="8" t="str">
        <f>IF($D255="","",INDEX('02_能力差距自评'!$M:$M,MATCH($D255,'02_能力差距自评'!$F:$F,0)))</f>
        <v/>
      </c>
      <c r="J255" s="8" t="str">
        <f>IF($D255="","",INDEX('02_能力差距自评'!$N:$N,MATCH($D255,'02_能力差距自评'!$F:$F,0)))</f>
        <v/>
      </c>
      <c r="K255" s="8" t="str">
        <f>IF($D255="","",INDEX('02_能力差距自评'!$O:$O,MATCH($D255,'02_能力差距自评'!$F:$F,0)))</f>
        <v/>
      </c>
      <c r="L255" s="8" t="str">
        <f>IF($D255="","",INDEX('02_能力差距自评'!$I:$I,MATCH($D255,'02_能力差距自评'!$F:$F,0)))</f>
        <v/>
      </c>
      <c r="M255" s="8" t="str">
        <f t="shared" si="6"/>
        <v/>
      </c>
      <c r="N255" s="8" t="str">
        <f>IF($D255="","",INDEX('02_能力差距自评'!$J:$J,MATCH($D255,'02_能力差距自评'!$F:$F,0)))</f>
        <v/>
      </c>
      <c r="O255" s="8" t="str">
        <f>IF($D255="","",INDEX('02_能力差距自评'!$K:$K,MATCH($D255,'02_能力差距自评'!$F:$F,0)))</f>
        <v/>
      </c>
      <c r="P255" s="8"/>
      <c r="Q255" s="8"/>
      <c r="R255" s="8"/>
      <c r="S255" s="8" t="str">
        <f t="shared" si="7"/>
        <v/>
      </c>
      <c r="T255" s="8"/>
      <c r="U255" s="8"/>
      <c r="V255" s="8"/>
    </row>
    <row r="256" spans="1:22">
      <c r="A256" s="8" t="str">
        <f>IF($D256="","","LP"&amp;TEXT(ROWS($A$2:A256),"000"))</f>
        <v/>
      </c>
      <c r="B256" s="8" t="str">
        <f>IF($D256="","",IFERROR(INDEX('02_能力差距自评'!$Q:$Q,MATCH($D256,'02_能力差距自评'!$F:$F,0)),""))</f>
        <v/>
      </c>
      <c r="C256" s="8" t="str">
        <f>IF($D256="","",IFERROR(INDEX('02_能力差距自评'!$R:$R,MATCH($D256,'02_能力差距自评'!$F:$F,0)),""))</f>
        <v/>
      </c>
      <c r="D256" s="8" t="str">
        <f>IFERROR(INDEX('02_能力差距自评'!$F$2:$F$311,MATCH(ROWS($D$2:D256),'02_能力差距自评'!$W$2:$W$311,0)),"")</f>
        <v/>
      </c>
      <c r="E256" s="8" t="str">
        <f>IF($D256="","",INDEX('02_能力差距自评'!$G:$G,MATCH($D256,'02_能力差距自评'!$F:$F,0)))</f>
        <v/>
      </c>
      <c r="F256" s="8" t="str">
        <f>IF($D256="","",INDEX('02_能力差距自评'!$C:$C,MATCH($D256,'02_能力差距自评'!$F:$F,0)))</f>
        <v/>
      </c>
      <c r="G256" s="8" t="str">
        <f>IF($D256="","",INDEX('02_能力差距自评'!$E:$E,MATCH($D256,'02_能力差距自评'!$F:$F,0)))</f>
        <v/>
      </c>
      <c r="H256" s="8" t="str">
        <f>IF($D256="","",INDEX('02_能力差距自评'!$L:$L,MATCH($D256,'02_能力差距自评'!$F:$F,0)))</f>
        <v/>
      </c>
      <c r="I256" s="8" t="str">
        <f>IF($D256="","",INDEX('02_能力差距自评'!$M:$M,MATCH($D256,'02_能力差距自评'!$F:$F,0)))</f>
        <v/>
      </c>
      <c r="J256" s="8" t="str">
        <f>IF($D256="","",INDEX('02_能力差距自评'!$N:$N,MATCH($D256,'02_能力差距自评'!$F:$F,0)))</f>
        <v/>
      </c>
      <c r="K256" s="8" t="str">
        <f>IF($D256="","",INDEX('02_能力差距自评'!$O:$O,MATCH($D256,'02_能力差距自评'!$F:$F,0)))</f>
        <v/>
      </c>
      <c r="L256" s="8" t="str">
        <f>IF($D256="","",INDEX('02_能力差距自评'!$I:$I,MATCH($D256,'02_能力差距自评'!$F:$F,0)))</f>
        <v/>
      </c>
      <c r="M256" s="8" t="str">
        <f t="shared" si="6"/>
        <v/>
      </c>
      <c r="N256" s="8" t="str">
        <f>IF($D256="","",INDEX('02_能力差距自评'!$J:$J,MATCH($D256,'02_能力差距自评'!$F:$F,0)))</f>
        <v/>
      </c>
      <c r="O256" s="8" t="str">
        <f>IF($D256="","",INDEX('02_能力差距自评'!$K:$K,MATCH($D256,'02_能力差距自评'!$F:$F,0)))</f>
        <v/>
      </c>
      <c r="P256" s="8"/>
      <c r="Q256" s="8"/>
      <c r="R256" s="8"/>
      <c r="S256" s="8" t="str">
        <f t="shared" si="7"/>
        <v/>
      </c>
      <c r="T256" s="8"/>
      <c r="U256" s="8"/>
      <c r="V256" s="8"/>
    </row>
    <row r="257" spans="1:22">
      <c r="A257" s="8" t="str">
        <f>IF($D257="","","LP"&amp;TEXT(ROWS($A$2:A257),"000"))</f>
        <v/>
      </c>
      <c r="B257" s="8" t="str">
        <f>IF($D257="","",IFERROR(INDEX('02_能力差距自评'!$Q:$Q,MATCH($D257,'02_能力差距自评'!$F:$F,0)),""))</f>
        <v/>
      </c>
      <c r="C257" s="8" t="str">
        <f>IF($D257="","",IFERROR(INDEX('02_能力差距自评'!$R:$R,MATCH($D257,'02_能力差距自评'!$F:$F,0)),""))</f>
        <v/>
      </c>
      <c r="D257" s="8" t="str">
        <f>IFERROR(INDEX('02_能力差距自评'!$F$2:$F$311,MATCH(ROWS($D$2:D257),'02_能力差距自评'!$W$2:$W$311,0)),"")</f>
        <v/>
      </c>
      <c r="E257" s="8" t="str">
        <f>IF($D257="","",INDEX('02_能力差距自评'!$G:$G,MATCH($D257,'02_能力差距自评'!$F:$F,0)))</f>
        <v/>
      </c>
      <c r="F257" s="8" t="str">
        <f>IF($D257="","",INDEX('02_能力差距自评'!$C:$C,MATCH($D257,'02_能力差距自评'!$F:$F,0)))</f>
        <v/>
      </c>
      <c r="G257" s="8" t="str">
        <f>IF($D257="","",INDEX('02_能力差距自评'!$E:$E,MATCH($D257,'02_能力差距自评'!$F:$F,0)))</f>
        <v/>
      </c>
      <c r="H257" s="8" t="str">
        <f>IF($D257="","",INDEX('02_能力差距自评'!$L:$L,MATCH($D257,'02_能力差距自评'!$F:$F,0)))</f>
        <v/>
      </c>
      <c r="I257" s="8" t="str">
        <f>IF($D257="","",INDEX('02_能力差距自评'!$M:$M,MATCH($D257,'02_能力差距自评'!$F:$F,0)))</f>
        <v/>
      </c>
      <c r="J257" s="8" t="str">
        <f>IF($D257="","",INDEX('02_能力差距自评'!$N:$N,MATCH($D257,'02_能力差距自评'!$F:$F,0)))</f>
        <v/>
      </c>
      <c r="K257" s="8" t="str">
        <f>IF($D257="","",INDEX('02_能力差距自评'!$O:$O,MATCH($D257,'02_能力差距自评'!$F:$F,0)))</f>
        <v/>
      </c>
      <c r="L257" s="8" t="str">
        <f>IF($D257="","",INDEX('02_能力差距自评'!$I:$I,MATCH($D257,'02_能力差距自评'!$F:$F,0)))</f>
        <v/>
      </c>
      <c r="M257" s="8" t="str">
        <f t="shared" si="6"/>
        <v/>
      </c>
      <c r="N257" s="8" t="str">
        <f>IF($D257="","",INDEX('02_能力差距自评'!$J:$J,MATCH($D257,'02_能力差距自评'!$F:$F,0)))</f>
        <v/>
      </c>
      <c r="O257" s="8" t="str">
        <f>IF($D257="","",INDEX('02_能力差距自评'!$K:$K,MATCH($D257,'02_能力差距自评'!$F:$F,0)))</f>
        <v/>
      </c>
      <c r="P257" s="8"/>
      <c r="Q257" s="8"/>
      <c r="R257" s="8"/>
      <c r="S257" s="8" t="str">
        <f t="shared" si="7"/>
        <v/>
      </c>
      <c r="T257" s="8"/>
      <c r="U257" s="8"/>
      <c r="V257" s="8"/>
    </row>
    <row r="258" spans="1:22">
      <c r="A258" s="8" t="str">
        <f>IF($D258="","","LP"&amp;TEXT(ROWS($A$2:A258),"000"))</f>
        <v/>
      </c>
      <c r="B258" s="8" t="str">
        <f>IF($D258="","",IFERROR(INDEX('02_能力差距自评'!$Q:$Q,MATCH($D258,'02_能力差距自评'!$F:$F,0)),""))</f>
        <v/>
      </c>
      <c r="C258" s="8" t="str">
        <f>IF($D258="","",IFERROR(INDEX('02_能力差距自评'!$R:$R,MATCH($D258,'02_能力差距自评'!$F:$F,0)),""))</f>
        <v/>
      </c>
      <c r="D258" s="8" t="str">
        <f>IFERROR(INDEX('02_能力差距自评'!$F$2:$F$311,MATCH(ROWS($D$2:D258),'02_能力差距自评'!$W$2:$W$311,0)),"")</f>
        <v/>
      </c>
      <c r="E258" s="8" t="str">
        <f>IF($D258="","",INDEX('02_能力差距自评'!$G:$G,MATCH($D258,'02_能力差距自评'!$F:$F,0)))</f>
        <v/>
      </c>
      <c r="F258" s="8" t="str">
        <f>IF($D258="","",INDEX('02_能力差距自评'!$C:$C,MATCH($D258,'02_能力差距自评'!$F:$F,0)))</f>
        <v/>
      </c>
      <c r="G258" s="8" t="str">
        <f>IF($D258="","",INDEX('02_能力差距自评'!$E:$E,MATCH($D258,'02_能力差距自评'!$F:$F,0)))</f>
        <v/>
      </c>
      <c r="H258" s="8" t="str">
        <f>IF($D258="","",INDEX('02_能力差距自评'!$L:$L,MATCH($D258,'02_能力差距自评'!$F:$F,0)))</f>
        <v/>
      </c>
      <c r="I258" s="8" t="str">
        <f>IF($D258="","",INDEX('02_能力差距自评'!$M:$M,MATCH($D258,'02_能力差距自评'!$F:$F,0)))</f>
        <v/>
      </c>
      <c r="J258" s="8" t="str">
        <f>IF($D258="","",INDEX('02_能力差距自评'!$N:$N,MATCH($D258,'02_能力差距自评'!$F:$F,0)))</f>
        <v/>
      </c>
      <c r="K258" s="8" t="str">
        <f>IF($D258="","",INDEX('02_能力差距自评'!$O:$O,MATCH($D258,'02_能力差距自评'!$F:$F,0)))</f>
        <v/>
      </c>
      <c r="L258" s="8" t="str">
        <f>IF($D258="","",INDEX('02_能力差距自评'!$I:$I,MATCH($D258,'02_能力差距自评'!$F:$F,0)))</f>
        <v/>
      </c>
      <c r="M258" s="8" t="str">
        <f t="shared" ref="M258:M321" si="8">IF($D258="","",$E258)</f>
        <v/>
      </c>
      <c r="N258" s="8" t="str">
        <f>IF($D258="","",INDEX('02_能力差距自评'!$J:$J,MATCH($D258,'02_能力差距自评'!$F:$F,0)))</f>
        <v/>
      </c>
      <c r="O258" s="8" t="str">
        <f>IF($D258="","",INDEX('02_能力差距自评'!$K:$K,MATCH($D258,'02_能力差距自评'!$F:$F,0)))</f>
        <v/>
      </c>
      <c r="P258" s="8"/>
      <c r="Q258" s="8"/>
      <c r="R258" s="8"/>
      <c r="S258" s="8" t="str">
        <f t="shared" ref="S258:S321" si="9">IF($D258="","","未开始")</f>
        <v/>
      </c>
      <c r="T258" s="8"/>
      <c r="U258" s="8"/>
      <c r="V258" s="8"/>
    </row>
    <row r="259" spans="1:22">
      <c r="A259" s="8" t="str">
        <f>IF($D259="","","LP"&amp;TEXT(ROWS($A$2:A259),"000"))</f>
        <v/>
      </c>
      <c r="B259" s="8" t="str">
        <f>IF($D259="","",IFERROR(INDEX('02_能力差距自评'!$Q:$Q,MATCH($D259,'02_能力差距自评'!$F:$F,0)),""))</f>
        <v/>
      </c>
      <c r="C259" s="8" t="str">
        <f>IF($D259="","",IFERROR(INDEX('02_能力差距自评'!$R:$R,MATCH($D259,'02_能力差距自评'!$F:$F,0)),""))</f>
        <v/>
      </c>
      <c r="D259" s="8" t="str">
        <f>IFERROR(INDEX('02_能力差距自评'!$F$2:$F$311,MATCH(ROWS($D$2:D259),'02_能力差距自评'!$W$2:$W$311,0)),"")</f>
        <v/>
      </c>
      <c r="E259" s="8" t="str">
        <f>IF($D259="","",INDEX('02_能力差距自评'!$G:$G,MATCH($D259,'02_能力差距自评'!$F:$F,0)))</f>
        <v/>
      </c>
      <c r="F259" s="8" t="str">
        <f>IF($D259="","",INDEX('02_能力差距自评'!$C:$C,MATCH($D259,'02_能力差距自评'!$F:$F,0)))</f>
        <v/>
      </c>
      <c r="G259" s="8" t="str">
        <f>IF($D259="","",INDEX('02_能力差距自评'!$E:$E,MATCH($D259,'02_能力差距自评'!$F:$F,0)))</f>
        <v/>
      </c>
      <c r="H259" s="8" t="str">
        <f>IF($D259="","",INDEX('02_能力差距自评'!$L:$L,MATCH($D259,'02_能力差距自评'!$F:$F,0)))</f>
        <v/>
      </c>
      <c r="I259" s="8" t="str">
        <f>IF($D259="","",INDEX('02_能力差距自评'!$M:$M,MATCH($D259,'02_能力差距自评'!$F:$F,0)))</f>
        <v/>
      </c>
      <c r="J259" s="8" t="str">
        <f>IF($D259="","",INDEX('02_能力差距自评'!$N:$N,MATCH($D259,'02_能力差距自评'!$F:$F,0)))</f>
        <v/>
      </c>
      <c r="K259" s="8" t="str">
        <f>IF($D259="","",INDEX('02_能力差距自评'!$O:$O,MATCH($D259,'02_能力差距自评'!$F:$F,0)))</f>
        <v/>
      </c>
      <c r="L259" s="8" t="str">
        <f>IF($D259="","",INDEX('02_能力差距自评'!$I:$I,MATCH($D259,'02_能力差距自评'!$F:$F,0)))</f>
        <v/>
      </c>
      <c r="M259" s="8" t="str">
        <f t="shared" si="8"/>
        <v/>
      </c>
      <c r="N259" s="8" t="str">
        <f>IF($D259="","",INDEX('02_能力差距自评'!$J:$J,MATCH($D259,'02_能力差距自评'!$F:$F,0)))</f>
        <v/>
      </c>
      <c r="O259" s="8" t="str">
        <f>IF($D259="","",INDEX('02_能力差距自评'!$K:$K,MATCH($D259,'02_能力差距自评'!$F:$F,0)))</f>
        <v/>
      </c>
      <c r="P259" s="8"/>
      <c r="Q259" s="8"/>
      <c r="R259" s="8"/>
      <c r="S259" s="8" t="str">
        <f t="shared" si="9"/>
        <v/>
      </c>
      <c r="T259" s="8"/>
      <c r="U259" s="8"/>
      <c r="V259" s="8"/>
    </row>
    <row r="260" spans="1:22">
      <c r="A260" s="8" t="str">
        <f>IF($D260="","","LP"&amp;TEXT(ROWS($A$2:A260),"000"))</f>
        <v/>
      </c>
      <c r="B260" s="8" t="str">
        <f>IF($D260="","",IFERROR(INDEX('02_能力差距自评'!$Q:$Q,MATCH($D260,'02_能力差距自评'!$F:$F,0)),""))</f>
        <v/>
      </c>
      <c r="C260" s="8" t="str">
        <f>IF($D260="","",IFERROR(INDEX('02_能力差距自评'!$R:$R,MATCH($D260,'02_能力差距自评'!$F:$F,0)),""))</f>
        <v/>
      </c>
      <c r="D260" s="8" t="str">
        <f>IFERROR(INDEX('02_能力差距自评'!$F$2:$F$311,MATCH(ROWS($D$2:D260),'02_能力差距自评'!$W$2:$W$311,0)),"")</f>
        <v/>
      </c>
      <c r="E260" s="8" t="str">
        <f>IF($D260="","",INDEX('02_能力差距自评'!$G:$G,MATCH($D260,'02_能力差距自评'!$F:$F,0)))</f>
        <v/>
      </c>
      <c r="F260" s="8" t="str">
        <f>IF($D260="","",INDEX('02_能力差距自评'!$C:$C,MATCH($D260,'02_能力差距自评'!$F:$F,0)))</f>
        <v/>
      </c>
      <c r="G260" s="8" t="str">
        <f>IF($D260="","",INDEX('02_能力差距自评'!$E:$E,MATCH($D260,'02_能力差距自评'!$F:$F,0)))</f>
        <v/>
      </c>
      <c r="H260" s="8" t="str">
        <f>IF($D260="","",INDEX('02_能力差距自评'!$L:$L,MATCH($D260,'02_能力差距自评'!$F:$F,0)))</f>
        <v/>
      </c>
      <c r="I260" s="8" t="str">
        <f>IF($D260="","",INDEX('02_能力差距自评'!$M:$M,MATCH($D260,'02_能力差距自评'!$F:$F,0)))</f>
        <v/>
      </c>
      <c r="J260" s="8" t="str">
        <f>IF($D260="","",INDEX('02_能力差距自评'!$N:$N,MATCH($D260,'02_能力差距自评'!$F:$F,0)))</f>
        <v/>
      </c>
      <c r="K260" s="8" t="str">
        <f>IF($D260="","",INDEX('02_能力差距自评'!$O:$O,MATCH($D260,'02_能力差距自评'!$F:$F,0)))</f>
        <v/>
      </c>
      <c r="L260" s="8" t="str">
        <f>IF($D260="","",INDEX('02_能力差距自评'!$I:$I,MATCH($D260,'02_能力差距自评'!$F:$F,0)))</f>
        <v/>
      </c>
      <c r="M260" s="8" t="str">
        <f t="shared" si="8"/>
        <v/>
      </c>
      <c r="N260" s="8" t="str">
        <f>IF($D260="","",INDEX('02_能力差距自评'!$J:$J,MATCH($D260,'02_能力差距自评'!$F:$F,0)))</f>
        <v/>
      </c>
      <c r="O260" s="8" t="str">
        <f>IF($D260="","",INDEX('02_能力差距自评'!$K:$K,MATCH($D260,'02_能力差距自评'!$F:$F,0)))</f>
        <v/>
      </c>
      <c r="P260" s="8"/>
      <c r="Q260" s="8"/>
      <c r="R260" s="8"/>
      <c r="S260" s="8" t="str">
        <f t="shared" si="9"/>
        <v/>
      </c>
      <c r="T260" s="8"/>
      <c r="U260" s="8"/>
      <c r="V260" s="8"/>
    </row>
    <row r="261" spans="1:22">
      <c r="A261" s="8" t="str">
        <f>IF($D261="","","LP"&amp;TEXT(ROWS($A$2:A261),"000"))</f>
        <v/>
      </c>
      <c r="B261" s="8" t="str">
        <f>IF($D261="","",IFERROR(INDEX('02_能力差距自评'!$Q:$Q,MATCH($D261,'02_能力差距自评'!$F:$F,0)),""))</f>
        <v/>
      </c>
      <c r="C261" s="8" t="str">
        <f>IF($D261="","",IFERROR(INDEX('02_能力差距自评'!$R:$R,MATCH($D261,'02_能力差距自评'!$F:$F,0)),""))</f>
        <v/>
      </c>
      <c r="D261" s="8" t="str">
        <f>IFERROR(INDEX('02_能力差距自评'!$F$2:$F$311,MATCH(ROWS($D$2:D261),'02_能力差距自评'!$W$2:$W$311,0)),"")</f>
        <v/>
      </c>
      <c r="E261" s="8" t="str">
        <f>IF($D261="","",INDEX('02_能力差距自评'!$G:$G,MATCH($D261,'02_能力差距自评'!$F:$F,0)))</f>
        <v/>
      </c>
      <c r="F261" s="8" t="str">
        <f>IF($D261="","",INDEX('02_能力差距自评'!$C:$C,MATCH($D261,'02_能力差距自评'!$F:$F,0)))</f>
        <v/>
      </c>
      <c r="G261" s="8" t="str">
        <f>IF($D261="","",INDEX('02_能力差距自评'!$E:$E,MATCH($D261,'02_能力差距自评'!$F:$F,0)))</f>
        <v/>
      </c>
      <c r="H261" s="8" t="str">
        <f>IF($D261="","",INDEX('02_能力差距自评'!$L:$L,MATCH($D261,'02_能力差距自评'!$F:$F,0)))</f>
        <v/>
      </c>
      <c r="I261" s="8" t="str">
        <f>IF($D261="","",INDEX('02_能力差距自评'!$M:$M,MATCH($D261,'02_能力差距自评'!$F:$F,0)))</f>
        <v/>
      </c>
      <c r="J261" s="8" t="str">
        <f>IF($D261="","",INDEX('02_能力差距自评'!$N:$N,MATCH($D261,'02_能力差距自评'!$F:$F,0)))</f>
        <v/>
      </c>
      <c r="K261" s="8" t="str">
        <f>IF($D261="","",INDEX('02_能力差距自评'!$O:$O,MATCH($D261,'02_能力差距自评'!$F:$F,0)))</f>
        <v/>
      </c>
      <c r="L261" s="8" t="str">
        <f>IF($D261="","",INDEX('02_能力差距自评'!$I:$I,MATCH($D261,'02_能力差距自评'!$F:$F,0)))</f>
        <v/>
      </c>
      <c r="M261" s="8" t="str">
        <f t="shared" si="8"/>
        <v/>
      </c>
      <c r="N261" s="8" t="str">
        <f>IF($D261="","",INDEX('02_能力差距自评'!$J:$J,MATCH($D261,'02_能力差距自评'!$F:$F,0)))</f>
        <v/>
      </c>
      <c r="O261" s="8" t="str">
        <f>IF($D261="","",INDEX('02_能力差距自评'!$K:$K,MATCH($D261,'02_能力差距自评'!$F:$F,0)))</f>
        <v/>
      </c>
      <c r="P261" s="8"/>
      <c r="Q261" s="8"/>
      <c r="R261" s="8"/>
      <c r="S261" s="8" t="str">
        <f t="shared" si="9"/>
        <v/>
      </c>
      <c r="T261" s="8"/>
      <c r="U261" s="8"/>
      <c r="V261" s="8"/>
    </row>
    <row r="262" spans="1:22">
      <c r="A262" s="8" t="str">
        <f>IF($D262="","","LP"&amp;TEXT(ROWS($A$2:A262),"000"))</f>
        <v/>
      </c>
      <c r="B262" s="8" t="str">
        <f>IF($D262="","",IFERROR(INDEX('02_能力差距自评'!$Q:$Q,MATCH($D262,'02_能力差距自评'!$F:$F,0)),""))</f>
        <v/>
      </c>
      <c r="C262" s="8" t="str">
        <f>IF($D262="","",IFERROR(INDEX('02_能力差距自评'!$R:$R,MATCH($D262,'02_能力差距自评'!$F:$F,0)),""))</f>
        <v/>
      </c>
      <c r="D262" s="8" t="str">
        <f>IFERROR(INDEX('02_能力差距自评'!$F$2:$F$311,MATCH(ROWS($D$2:D262),'02_能力差距自评'!$W$2:$W$311,0)),"")</f>
        <v/>
      </c>
      <c r="E262" s="8" t="str">
        <f>IF($D262="","",INDEX('02_能力差距自评'!$G:$G,MATCH($D262,'02_能力差距自评'!$F:$F,0)))</f>
        <v/>
      </c>
      <c r="F262" s="8" t="str">
        <f>IF($D262="","",INDEX('02_能力差距自评'!$C:$C,MATCH($D262,'02_能力差距自评'!$F:$F,0)))</f>
        <v/>
      </c>
      <c r="G262" s="8" t="str">
        <f>IF($D262="","",INDEX('02_能力差距自评'!$E:$E,MATCH($D262,'02_能力差距自评'!$F:$F,0)))</f>
        <v/>
      </c>
      <c r="H262" s="8" t="str">
        <f>IF($D262="","",INDEX('02_能力差距自评'!$L:$L,MATCH($D262,'02_能力差距自评'!$F:$F,0)))</f>
        <v/>
      </c>
      <c r="I262" s="8" t="str">
        <f>IF($D262="","",INDEX('02_能力差距自评'!$M:$M,MATCH($D262,'02_能力差距自评'!$F:$F,0)))</f>
        <v/>
      </c>
      <c r="J262" s="8" t="str">
        <f>IF($D262="","",INDEX('02_能力差距自评'!$N:$N,MATCH($D262,'02_能力差距自评'!$F:$F,0)))</f>
        <v/>
      </c>
      <c r="K262" s="8" t="str">
        <f>IF($D262="","",INDEX('02_能力差距自评'!$O:$O,MATCH($D262,'02_能力差距自评'!$F:$F,0)))</f>
        <v/>
      </c>
      <c r="L262" s="8" t="str">
        <f>IF($D262="","",INDEX('02_能力差距自评'!$I:$I,MATCH($D262,'02_能力差距自评'!$F:$F,0)))</f>
        <v/>
      </c>
      <c r="M262" s="8" t="str">
        <f t="shared" si="8"/>
        <v/>
      </c>
      <c r="N262" s="8" t="str">
        <f>IF($D262="","",INDEX('02_能力差距自评'!$J:$J,MATCH($D262,'02_能力差距自评'!$F:$F,0)))</f>
        <v/>
      </c>
      <c r="O262" s="8" t="str">
        <f>IF($D262="","",INDEX('02_能力差距自评'!$K:$K,MATCH($D262,'02_能力差距自评'!$F:$F,0)))</f>
        <v/>
      </c>
      <c r="P262" s="8"/>
      <c r="Q262" s="8"/>
      <c r="R262" s="8"/>
      <c r="S262" s="8" t="str">
        <f t="shared" si="9"/>
        <v/>
      </c>
      <c r="T262" s="8"/>
      <c r="U262" s="8"/>
      <c r="V262" s="8"/>
    </row>
    <row r="263" spans="1:22">
      <c r="A263" s="8" t="str">
        <f>IF($D263="","","LP"&amp;TEXT(ROWS($A$2:A263),"000"))</f>
        <v/>
      </c>
      <c r="B263" s="8" t="str">
        <f>IF($D263="","",IFERROR(INDEX('02_能力差距自评'!$Q:$Q,MATCH($D263,'02_能力差距自评'!$F:$F,0)),""))</f>
        <v/>
      </c>
      <c r="C263" s="8" t="str">
        <f>IF($D263="","",IFERROR(INDEX('02_能力差距自评'!$R:$R,MATCH($D263,'02_能力差距自评'!$F:$F,0)),""))</f>
        <v/>
      </c>
      <c r="D263" s="8" t="str">
        <f>IFERROR(INDEX('02_能力差距自评'!$F$2:$F$311,MATCH(ROWS($D$2:D263),'02_能力差距自评'!$W$2:$W$311,0)),"")</f>
        <v/>
      </c>
      <c r="E263" s="8" t="str">
        <f>IF($D263="","",INDEX('02_能力差距自评'!$G:$G,MATCH($D263,'02_能力差距自评'!$F:$F,0)))</f>
        <v/>
      </c>
      <c r="F263" s="8" t="str">
        <f>IF($D263="","",INDEX('02_能力差距自评'!$C:$C,MATCH($D263,'02_能力差距自评'!$F:$F,0)))</f>
        <v/>
      </c>
      <c r="G263" s="8" t="str">
        <f>IF($D263="","",INDEX('02_能力差距自评'!$E:$E,MATCH($D263,'02_能力差距自评'!$F:$F,0)))</f>
        <v/>
      </c>
      <c r="H263" s="8" t="str">
        <f>IF($D263="","",INDEX('02_能力差距自评'!$L:$L,MATCH($D263,'02_能力差距自评'!$F:$F,0)))</f>
        <v/>
      </c>
      <c r="I263" s="8" t="str">
        <f>IF($D263="","",INDEX('02_能力差距自评'!$M:$M,MATCH($D263,'02_能力差距自评'!$F:$F,0)))</f>
        <v/>
      </c>
      <c r="J263" s="8" t="str">
        <f>IF($D263="","",INDEX('02_能力差距自评'!$N:$N,MATCH($D263,'02_能力差距自评'!$F:$F,0)))</f>
        <v/>
      </c>
      <c r="K263" s="8" t="str">
        <f>IF($D263="","",INDEX('02_能力差距自评'!$O:$O,MATCH($D263,'02_能力差距自评'!$F:$F,0)))</f>
        <v/>
      </c>
      <c r="L263" s="8" t="str">
        <f>IF($D263="","",INDEX('02_能力差距自评'!$I:$I,MATCH($D263,'02_能力差距自评'!$F:$F,0)))</f>
        <v/>
      </c>
      <c r="M263" s="8" t="str">
        <f t="shared" si="8"/>
        <v/>
      </c>
      <c r="N263" s="8" t="str">
        <f>IF($D263="","",INDEX('02_能力差距自评'!$J:$J,MATCH($D263,'02_能力差距自评'!$F:$F,0)))</f>
        <v/>
      </c>
      <c r="O263" s="8" t="str">
        <f>IF($D263="","",INDEX('02_能力差距自评'!$K:$K,MATCH($D263,'02_能力差距自评'!$F:$F,0)))</f>
        <v/>
      </c>
      <c r="P263" s="8"/>
      <c r="Q263" s="8"/>
      <c r="R263" s="8"/>
      <c r="S263" s="8" t="str">
        <f t="shared" si="9"/>
        <v/>
      </c>
      <c r="T263" s="8"/>
      <c r="U263" s="8"/>
      <c r="V263" s="8"/>
    </row>
    <row r="264" spans="1:22">
      <c r="A264" s="8" t="str">
        <f>IF($D264="","","LP"&amp;TEXT(ROWS($A$2:A264),"000"))</f>
        <v/>
      </c>
      <c r="B264" s="8" t="str">
        <f>IF($D264="","",IFERROR(INDEX('02_能力差距自评'!$Q:$Q,MATCH($D264,'02_能力差距自评'!$F:$F,0)),""))</f>
        <v/>
      </c>
      <c r="C264" s="8" t="str">
        <f>IF($D264="","",IFERROR(INDEX('02_能力差距自评'!$R:$R,MATCH($D264,'02_能力差距自评'!$F:$F,0)),""))</f>
        <v/>
      </c>
      <c r="D264" s="8" t="str">
        <f>IFERROR(INDEX('02_能力差距自评'!$F$2:$F$311,MATCH(ROWS($D$2:D264),'02_能力差距自评'!$W$2:$W$311,0)),"")</f>
        <v/>
      </c>
      <c r="E264" s="8" t="str">
        <f>IF($D264="","",INDEX('02_能力差距自评'!$G:$G,MATCH($D264,'02_能力差距自评'!$F:$F,0)))</f>
        <v/>
      </c>
      <c r="F264" s="8" t="str">
        <f>IF($D264="","",INDEX('02_能力差距自评'!$C:$C,MATCH($D264,'02_能力差距自评'!$F:$F,0)))</f>
        <v/>
      </c>
      <c r="G264" s="8" t="str">
        <f>IF($D264="","",INDEX('02_能力差距自评'!$E:$E,MATCH($D264,'02_能力差距自评'!$F:$F,0)))</f>
        <v/>
      </c>
      <c r="H264" s="8" t="str">
        <f>IF($D264="","",INDEX('02_能力差距自评'!$L:$L,MATCH($D264,'02_能力差距自评'!$F:$F,0)))</f>
        <v/>
      </c>
      <c r="I264" s="8" t="str">
        <f>IF($D264="","",INDEX('02_能力差距自评'!$M:$M,MATCH($D264,'02_能力差距自评'!$F:$F,0)))</f>
        <v/>
      </c>
      <c r="J264" s="8" t="str">
        <f>IF($D264="","",INDEX('02_能力差距自评'!$N:$N,MATCH($D264,'02_能力差距自评'!$F:$F,0)))</f>
        <v/>
      </c>
      <c r="K264" s="8" t="str">
        <f>IF($D264="","",INDEX('02_能力差距自评'!$O:$O,MATCH($D264,'02_能力差距自评'!$F:$F,0)))</f>
        <v/>
      </c>
      <c r="L264" s="8" t="str">
        <f>IF($D264="","",INDEX('02_能力差距自评'!$I:$I,MATCH($D264,'02_能力差距自评'!$F:$F,0)))</f>
        <v/>
      </c>
      <c r="M264" s="8" t="str">
        <f t="shared" si="8"/>
        <v/>
      </c>
      <c r="N264" s="8" t="str">
        <f>IF($D264="","",INDEX('02_能力差距自评'!$J:$J,MATCH($D264,'02_能力差距自评'!$F:$F,0)))</f>
        <v/>
      </c>
      <c r="O264" s="8" t="str">
        <f>IF($D264="","",INDEX('02_能力差距自评'!$K:$K,MATCH($D264,'02_能力差距自评'!$F:$F,0)))</f>
        <v/>
      </c>
      <c r="P264" s="8"/>
      <c r="Q264" s="8"/>
      <c r="R264" s="8"/>
      <c r="S264" s="8" t="str">
        <f t="shared" si="9"/>
        <v/>
      </c>
      <c r="T264" s="8"/>
      <c r="U264" s="8"/>
      <c r="V264" s="8"/>
    </row>
    <row r="265" spans="1:22">
      <c r="A265" s="8" t="str">
        <f>IF($D265="","","LP"&amp;TEXT(ROWS($A$2:A265),"000"))</f>
        <v/>
      </c>
      <c r="B265" s="8" t="str">
        <f>IF($D265="","",IFERROR(INDEX('02_能力差距自评'!$Q:$Q,MATCH($D265,'02_能力差距自评'!$F:$F,0)),""))</f>
        <v/>
      </c>
      <c r="C265" s="8" t="str">
        <f>IF($D265="","",IFERROR(INDEX('02_能力差距自评'!$R:$R,MATCH($D265,'02_能力差距自评'!$F:$F,0)),""))</f>
        <v/>
      </c>
      <c r="D265" s="8" t="str">
        <f>IFERROR(INDEX('02_能力差距自评'!$F$2:$F$311,MATCH(ROWS($D$2:D265),'02_能力差距自评'!$W$2:$W$311,0)),"")</f>
        <v/>
      </c>
      <c r="E265" s="8" t="str">
        <f>IF($D265="","",INDEX('02_能力差距自评'!$G:$G,MATCH($D265,'02_能力差距自评'!$F:$F,0)))</f>
        <v/>
      </c>
      <c r="F265" s="8" t="str">
        <f>IF($D265="","",INDEX('02_能力差距自评'!$C:$C,MATCH($D265,'02_能力差距自评'!$F:$F,0)))</f>
        <v/>
      </c>
      <c r="G265" s="8" t="str">
        <f>IF($D265="","",INDEX('02_能力差距自评'!$E:$E,MATCH($D265,'02_能力差距自评'!$F:$F,0)))</f>
        <v/>
      </c>
      <c r="H265" s="8" t="str">
        <f>IF($D265="","",INDEX('02_能力差距自评'!$L:$L,MATCH($D265,'02_能力差距自评'!$F:$F,0)))</f>
        <v/>
      </c>
      <c r="I265" s="8" t="str">
        <f>IF($D265="","",INDEX('02_能力差距自评'!$M:$M,MATCH($D265,'02_能力差距自评'!$F:$F,0)))</f>
        <v/>
      </c>
      <c r="J265" s="8" t="str">
        <f>IF($D265="","",INDEX('02_能力差距自评'!$N:$N,MATCH($D265,'02_能力差距自评'!$F:$F,0)))</f>
        <v/>
      </c>
      <c r="K265" s="8" t="str">
        <f>IF($D265="","",INDEX('02_能力差距自评'!$O:$O,MATCH($D265,'02_能力差距自评'!$F:$F,0)))</f>
        <v/>
      </c>
      <c r="L265" s="8" t="str">
        <f>IF($D265="","",INDEX('02_能力差距自评'!$I:$I,MATCH($D265,'02_能力差距自评'!$F:$F,0)))</f>
        <v/>
      </c>
      <c r="M265" s="8" t="str">
        <f t="shared" si="8"/>
        <v/>
      </c>
      <c r="N265" s="8" t="str">
        <f>IF($D265="","",INDEX('02_能力差距自评'!$J:$J,MATCH($D265,'02_能力差距自评'!$F:$F,0)))</f>
        <v/>
      </c>
      <c r="O265" s="8" t="str">
        <f>IF($D265="","",INDEX('02_能力差距自评'!$K:$K,MATCH($D265,'02_能力差距自评'!$F:$F,0)))</f>
        <v/>
      </c>
      <c r="P265" s="8"/>
      <c r="Q265" s="8"/>
      <c r="R265" s="8"/>
      <c r="S265" s="8" t="str">
        <f t="shared" si="9"/>
        <v/>
      </c>
      <c r="T265" s="8"/>
      <c r="U265" s="8"/>
      <c r="V265" s="8"/>
    </row>
    <row r="266" spans="1:22">
      <c r="A266" s="8" t="str">
        <f>IF($D266="","","LP"&amp;TEXT(ROWS($A$2:A266),"000"))</f>
        <v/>
      </c>
      <c r="B266" s="8" t="str">
        <f>IF($D266="","",IFERROR(INDEX('02_能力差距自评'!$Q:$Q,MATCH($D266,'02_能力差距自评'!$F:$F,0)),""))</f>
        <v/>
      </c>
      <c r="C266" s="8" t="str">
        <f>IF($D266="","",IFERROR(INDEX('02_能力差距自评'!$R:$R,MATCH($D266,'02_能力差距自评'!$F:$F,0)),""))</f>
        <v/>
      </c>
      <c r="D266" s="8" t="str">
        <f>IFERROR(INDEX('02_能力差距自评'!$F$2:$F$311,MATCH(ROWS($D$2:D266),'02_能力差距自评'!$W$2:$W$311,0)),"")</f>
        <v/>
      </c>
      <c r="E266" s="8" t="str">
        <f>IF($D266="","",INDEX('02_能力差距自评'!$G:$G,MATCH($D266,'02_能力差距自评'!$F:$F,0)))</f>
        <v/>
      </c>
      <c r="F266" s="8" t="str">
        <f>IF($D266="","",INDEX('02_能力差距自评'!$C:$C,MATCH($D266,'02_能力差距自评'!$F:$F,0)))</f>
        <v/>
      </c>
      <c r="G266" s="8" t="str">
        <f>IF($D266="","",INDEX('02_能力差距自评'!$E:$E,MATCH($D266,'02_能力差距自评'!$F:$F,0)))</f>
        <v/>
      </c>
      <c r="H266" s="8" t="str">
        <f>IF($D266="","",INDEX('02_能力差距自评'!$L:$L,MATCH($D266,'02_能力差距自评'!$F:$F,0)))</f>
        <v/>
      </c>
      <c r="I266" s="8" t="str">
        <f>IF($D266="","",INDEX('02_能力差距自评'!$M:$M,MATCH($D266,'02_能力差距自评'!$F:$F,0)))</f>
        <v/>
      </c>
      <c r="J266" s="8" t="str">
        <f>IF($D266="","",INDEX('02_能力差距自评'!$N:$N,MATCH($D266,'02_能力差距自评'!$F:$F,0)))</f>
        <v/>
      </c>
      <c r="K266" s="8" t="str">
        <f>IF($D266="","",INDEX('02_能力差距自评'!$O:$O,MATCH($D266,'02_能力差距自评'!$F:$F,0)))</f>
        <v/>
      </c>
      <c r="L266" s="8" t="str">
        <f>IF($D266="","",INDEX('02_能力差距自评'!$I:$I,MATCH($D266,'02_能力差距自评'!$F:$F,0)))</f>
        <v/>
      </c>
      <c r="M266" s="8" t="str">
        <f t="shared" si="8"/>
        <v/>
      </c>
      <c r="N266" s="8" t="str">
        <f>IF($D266="","",INDEX('02_能力差距自评'!$J:$J,MATCH($D266,'02_能力差距自评'!$F:$F,0)))</f>
        <v/>
      </c>
      <c r="O266" s="8" t="str">
        <f>IF($D266="","",INDEX('02_能力差距自评'!$K:$K,MATCH($D266,'02_能力差距自评'!$F:$F,0)))</f>
        <v/>
      </c>
      <c r="P266" s="8"/>
      <c r="Q266" s="8"/>
      <c r="R266" s="8"/>
      <c r="S266" s="8" t="str">
        <f t="shared" si="9"/>
        <v/>
      </c>
      <c r="T266" s="8"/>
      <c r="U266" s="8"/>
      <c r="V266" s="8"/>
    </row>
    <row r="267" spans="1:22">
      <c r="A267" s="8" t="str">
        <f>IF($D267="","","LP"&amp;TEXT(ROWS($A$2:A267),"000"))</f>
        <v/>
      </c>
      <c r="B267" s="8" t="str">
        <f>IF($D267="","",IFERROR(INDEX('02_能力差距自评'!$Q:$Q,MATCH($D267,'02_能力差距自评'!$F:$F,0)),""))</f>
        <v/>
      </c>
      <c r="C267" s="8" t="str">
        <f>IF($D267="","",IFERROR(INDEX('02_能力差距自评'!$R:$R,MATCH($D267,'02_能力差距自评'!$F:$F,0)),""))</f>
        <v/>
      </c>
      <c r="D267" s="8" t="str">
        <f>IFERROR(INDEX('02_能力差距自评'!$F$2:$F$311,MATCH(ROWS($D$2:D267),'02_能力差距自评'!$W$2:$W$311,0)),"")</f>
        <v/>
      </c>
      <c r="E267" s="8" t="str">
        <f>IF($D267="","",INDEX('02_能力差距自评'!$G:$G,MATCH($D267,'02_能力差距自评'!$F:$F,0)))</f>
        <v/>
      </c>
      <c r="F267" s="8" t="str">
        <f>IF($D267="","",INDEX('02_能力差距自评'!$C:$C,MATCH($D267,'02_能力差距自评'!$F:$F,0)))</f>
        <v/>
      </c>
      <c r="G267" s="8" t="str">
        <f>IF($D267="","",INDEX('02_能力差距自评'!$E:$E,MATCH($D267,'02_能力差距自评'!$F:$F,0)))</f>
        <v/>
      </c>
      <c r="H267" s="8" t="str">
        <f>IF($D267="","",INDEX('02_能力差距自评'!$L:$L,MATCH($D267,'02_能力差距自评'!$F:$F,0)))</f>
        <v/>
      </c>
      <c r="I267" s="8" t="str">
        <f>IF($D267="","",INDEX('02_能力差距自评'!$M:$M,MATCH($D267,'02_能力差距自评'!$F:$F,0)))</f>
        <v/>
      </c>
      <c r="J267" s="8" t="str">
        <f>IF($D267="","",INDEX('02_能力差距自评'!$N:$N,MATCH($D267,'02_能力差距自评'!$F:$F,0)))</f>
        <v/>
      </c>
      <c r="K267" s="8" t="str">
        <f>IF($D267="","",INDEX('02_能力差距自评'!$O:$O,MATCH($D267,'02_能力差距自评'!$F:$F,0)))</f>
        <v/>
      </c>
      <c r="L267" s="8" t="str">
        <f>IF($D267="","",INDEX('02_能力差距自评'!$I:$I,MATCH($D267,'02_能力差距自评'!$F:$F,0)))</f>
        <v/>
      </c>
      <c r="M267" s="8" t="str">
        <f t="shared" si="8"/>
        <v/>
      </c>
      <c r="N267" s="8" t="str">
        <f>IF($D267="","",INDEX('02_能力差距自评'!$J:$J,MATCH($D267,'02_能力差距自评'!$F:$F,0)))</f>
        <v/>
      </c>
      <c r="O267" s="8" t="str">
        <f>IF($D267="","",INDEX('02_能力差距自评'!$K:$K,MATCH($D267,'02_能力差距自评'!$F:$F,0)))</f>
        <v/>
      </c>
      <c r="P267" s="8"/>
      <c r="Q267" s="8"/>
      <c r="R267" s="8"/>
      <c r="S267" s="8" t="str">
        <f t="shared" si="9"/>
        <v/>
      </c>
      <c r="T267" s="8"/>
      <c r="U267" s="8"/>
      <c r="V267" s="8"/>
    </row>
    <row r="268" spans="1:22">
      <c r="A268" s="8" t="str">
        <f>IF($D268="","","LP"&amp;TEXT(ROWS($A$2:A268),"000"))</f>
        <v/>
      </c>
      <c r="B268" s="8" t="str">
        <f>IF($D268="","",IFERROR(INDEX('02_能力差距自评'!$Q:$Q,MATCH($D268,'02_能力差距自评'!$F:$F,0)),""))</f>
        <v/>
      </c>
      <c r="C268" s="8" t="str">
        <f>IF($D268="","",IFERROR(INDEX('02_能力差距自评'!$R:$R,MATCH($D268,'02_能力差距自评'!$F:$F,0)),""))</f>
        <v/>
      </c>
      <c r="D268" s="8" t="str">
        <f>IFERROR(INDEX('02_能力差距自评'!$F$2:$F$311,MATCH(ROWS($D$2:D268),'02_能力差距自评'!$W$2:$W$311,0)),"")</f>
        <v/>
      </c>
      <c r="E268" s="8" t="str">
        <f>IF($D268="","",INDEX('02_能力差距自评'!$G:$G,MATCH($D268,'02_能力差距自评'!$F:$F,0)))</f>
        <v/>
      </c>
      <c r="F268" s="8" t="str">
        <f>IF($D268="","",INDEX('02_能力差距自评'!$C:$C,MATCH($D268,'02_能力差距自评'!$F:$F,0)))</f>
        <v/>
      </c>
      <c r="G268" s="8" t="str">
        <f>IF($D268="","",INDEX('02_能力差距自评'!$E:$E,MATCH($D268,'02_能力差距自评'!$F:$F,0)))</f>
        <v/>
      </c>
      <c r="H268" s="8" t="str">
        <f>IF($D268="","",INDEX('02_能力差距自评'!$L:$L,MATCH($D268,'02_能力差距自评'!$F:$F,0)))</f>
        <v/>
      </c>
      <c r="I268" s="8" t="str">
        <f>IF($D268="","",INDEX('02_能力差距自评'!$M:$M,MATCH($D268,'02_能力差距自评'!$F:$F,0)))</f>
        <v/>
      </c>
      <c r="J268" s="8" t="str">
        <f>IF($D268="","",INDEX('02_能力差距自评'!$N:$N,MATCH($D268,'02_能力差距自评'!$F:$F,0)))</f>
        <v/>
      </c>
      <c r="K268" s="8" t="str">
        <f>IF($D268="","",INDEX('02_能力差距自评'!$O:$O,MATCH($D268,'02_能力差距自评'!$F:$F,0)))</f>
        <v/>
      </c>
      <c r="L268" s="8" t="str">
        <f>IF($D268="","",INDEX('02_能力差距自评'!$I:$I,MATCH($D268,'02_能力差距自评'!$F:$F,0)))</f>
        <v/>
      </c>
      <c r="M268" s="8" t="str">
        <f t="shared" si="8"/>
        <v/>
      </c>
      <c r="N268" s="8" t="str">
        <f>IF($D268="","",INDEX('02_能力差距自评'!$J:$J,MATCH($D268,'02_能力差距自评'!$F:$F,0)))</f>
        <v/>
      </c>
      <c r="O268" s="8" t="str">
        <f>IF($D268="","",INDEX('02_能力差距自评'!$K:$K,MATCH($D268,'02_能力差距自评'!$F:$F,0)))</f>
        <v/>
      </c>
      <c r="P268" s="8"/>
      <c r="Q268" s="8"/>
      <c r="R268" s="8"/>
      <c r="S268" s="8" t="str">
        <f t="shared" si="9"/>
        <v/>
      </c>
      <c r="T268" s="8"/>
      <c r="U268" s="8"/>
      <c r="V268" s="8"/>
    </row>
    <row r="269" spans="1:22">
      <c r="A269" s="8" t="str">
        <f>IF($D269="","","LP"&amp;TEXT(ROWS($A$2:A269),"000"))</f>
        <v/>
      </c>
      <c r="B269" s="8" t="str">
        <f>IF($D269="","",IFERROR(INDEX('02_能力差距自评'!$Q:$Q,MATCH($D269,'02_能力差距自评'!$F:$F,0)),""))</f>
        <v/>
      </c>
      <c r="C269" s="8" t="str">
        <f>IF($D269="","",IFERROR(INDEX('02_能力差距自评'!$R:$R,MATCH($D269,'02_能力差距自评'!$F:$F,0)),""))</f>
        <v/>
      </c>
      <c r="D269" s="8" t="str">
        <f>IFERROR(INDEX('02_能力差距自评'!$F$2:$F$311,MATCH(ROWS($D$2:D269),'02_能力差距自评'!$W$2:$W$311,0)),"")</f>
        <v/>
      </c>
      <c r="E269" s="8" t="str">
        <f>IF($D269="","",INDEX('02_能力差距自评'!$G:$G,MATCH($D269,'02_能力差距自评'!$F:$F,0)))</f>
        <v/>
      </c>
      <c r="F269" s="8" t="str">
        <f>IF($D269="","",INDEX('02_能力差距自评'!$C:$C,MATCH($D269,'02_能力差距自评'!$F:$F,0)))</f>
        <v/>
      </c>
      <c r="G269" s="8" t="str">
        <f>IF($D269="","",INDEX('02_能力差距自评'!$E:$E,MATCH($D269,'02_能力差距自评'!$F:$F,0)))</f>
        <v/>
      </c>
      <c r="H269" s="8" t="str">
        <f>IF($D269="","",INDEX('02_能力差距自评'!$L:$L,MATCH($D269,'02_能力差距自评'!$F:$F,0)))</f>
        <v/>
      </c>
      <c r="I269" s="8" t="str">
        <f>IF($D269="","",INDEX('02_能力差距自评'!$M:$M,MATCH($D269,'02_能力差距自评'!$F:$F,0)))</f>
        <v/>
      </c>
      <c r="J269" s="8" t="str">
        <f>IF($D269="","",INDEX('02_能力差距自评'!$N:$N,MATCH($D269,'02_能力差距自评'!$F:$F,0)))</f>
        <v/>
      </c>
      <c r="K269" s="8" t="str">
        <f>IF($D269="","",INDEX('02_能力差距自评'!$O:$O,MATCH($D269,'02_能力差距自评'!$F:$F,0)))</f>
        <v/>
      </c>
      <c r="L269" s="8" t="str">
        <f>IF($D269="","",INDEX('02_能力差距自评'!$I:$I,MATCH($D269,'02_能力差距自评'!$F:$F,0)))</f>
        <v/>
      </c>
      <c r="M269" s="8" t="str">
        <f t="shared" si="8"/>
        <v/>
      </c>
      <c r="N269" s="8" t="str">
        <f>IF($D269="","",INDEX('02_能力差距自评'!$J:$J,MATCH($D269,'02_能力差距自评'!$F:$F,0)))</f>
        <v/>
      </c>
      <c r="O269" s="8" t="str">
        <f>IF($D269="","",INDEX('02_能力差距自评'!$K:$K,MATCH($D269,'02_能力差距自评'!$F:$F,0)))</f>
        <v/>
      </c>
      <c r="P269" s="8"/>
      <c r="Q269" s="8"/>
      <c r="R269" s="8"/>
      <c r="S269" s="8" t="str">
        <f t="shared" si="9"/>
        <v/>
      </c>
      <c r="T269" s="8"/>
      <c r="U269" s="8"/>
      <c r="V269" s="8"/>
    </row>
    <row r="270" spans="1:22">
      <c r="A270" s="8" t="str">
        <f>IF($D270="","","LP"&amp;TEXT(ROWS($A$2:A270),"000"))</f>
        <v/>
      </c>
      <c r="B270" s="8" t="str">
        <f>IF($D270="","",IFERROR(INDEX('02_能力差距自评'!$Q:$Q,MATCH($D270,'02_能力差距自评'!$F:$F,0)),""))</f>
        <v/>
      </c>
      <c r="C270" s="8" t="str">
        <f>IF($D270="","",IFERROR(INDEX('02_能力差距自评'!$R:$R,MATCH($D270,'02_能力差距自评'!$F:$F,0)),""))</f>
        <v/>
      </c>
      <c r="D270" s="8" t="str">
        <f>IFERROR(INDEX('02_能力差距自评'!$F$2:$F$311,MATCH(ROWS($D$2:D270),'02_能力差距自评'!$W$2:$W$311,0)),"")</f>
        <v/>
      </c>
      <c r="E270" s="8" t="str">
        <f>IF($D270="","",INDEX('02_能力差距自评'!$G:$G,MATCH($D270,'02_能力差距自评'!$F:$F,0)))</f>
        <v/>
      </c>
      <c r="F270" s="8" t="str">
        <f>IF($D270="","",INDEX('02_能力差距自评'!$C:$C,MATCH($D270,'02_能力差距自评'!$F:$F,0)))</f>
        <v/>
      </c>
      <c r="G270" s="8" t="str">
        <f>IF($D270="","",INDEX('02_能力差距自评'!$E:$E,MATCH($D270,'02_能力差距自评'!$F:$F,0)))</f>
        <v/>
      </c>
      <c r="H270" s="8" t="str">
        <f>IF($D270="","",INDEX('02_能力差距自评'!$L:$L,MATCH($D270,'02_能力差距自评'!$F:$F,0)))</f>
        <v/>
      </c>
      <c r="I270" s="8" t="str">
        <f>IF($D270="","",INDEX('02_能力差距自评'!$M:$M,MATCH($D270,'02_能力差距自评'!$F:$F,0)))</f>
        <v/>
      </c>
      <c r="J270" s="8" t="str">
        <f>IF($D270="","",INDEX('02_能力差距自评'!$N:$N,MATCH($D270,'02_能力差距自评'!$F:$F,0)))</f>
        <v/>
      </c>
      <c r="K270" s="8" t="str">
        <f>IF($D270="","",INDEX('02_能力差距自评'!$O:$O,MATCH($D270,'02_能力差距自评'!$F:$F,0)))</f>
        <v/>
      </c>
      <c r="L270" s="8" t="str">
        <f>IF($D270="","",INDEX('02_能力差距自评'!$I:$I,MATCH($D270,'02_能力差距自评'!$F:$F,0)))</f>
        <v/>
      </c>
      <c r="M270" s="8" t="str">
        <f t="shared" si="8"/>
        <v/>
      </c>
      <c r="N270" s="8" t="str">
        <f>IF($D270="","",INDEX('02_能力差距自评'!$J:$J,MATCH($D270,'02_能力差距自评'!$F:$F,0)))</f>
        <v/>
      </c>
      <c r="O270" s="8" t="str">
        <f>IF($D270="","",INDEX('02_能力差距自评'!$K:$K,MATCH($D270,'02_能力差距自评'!$F:$F,0)))</f>
        <v/>
      </c>
      <c r="P270" s="8"/>
      <c r="Q270" s="8"/>
      <c r="R270" s="8"/>
      <c r="S270" s="8" t="str">
        <f t="shared" si="9"/>
        <v/>
      </c>
      <c r="T270" s="8"/>
      <c r="U270" s="8"/>
      <c r="V270" s="8"/>
    </row>
    <row r="271" spans="1:22">
      <c r="A271" s="8" t="str">
        <f>IF($D271="","","LP"&amp;TEXT(ROWS($A$2:A271),"000"))</f>
        <v/>
      </c>
      <c r="B271" s="8" t="str">
        <f>IF($D271="","",IFERROR(INDEX('02_能力差距自评'!$Q:$Q,MATCH($D271,'02_能力差距自评'!$F:$F,0)),""))</f>
        <v/>
      </c>
      <c r="C271" s="8" t="str">
        <f>IF($D271="","",IFERROR(INDEX('02_能力差距自评'!$R:$R,MATCH($D271,'02_能力差距自评'!$F:$F,0)),""))</f>
        <v/>
      </c>
      <c r="D271" s="8" t="str">
        <f>IFERROR(INDEX('02_能力差距自评'!$F$2:$F$311,MATCH(ROWS($D$2:D271),'02_能力差距自评'!$W$2:$W$311,0)),"")</f>
        <v/>
      </c>
      <c r="E271" s="8" t="str">
        <f>IF($D271="","",INDEX('02_能力差距自评'!$G:$G,MATCH($D271,'02_能力差距自评'!$F:$F,0)))</f>
        <v/>
      </c>
      <c r="F271" s="8" t="str">
        <f>IF($D271="","",INDEX('02_能力差距自评'!$C:$C,MATCH($D271,'02_能力差距自评'!$F:$F,0)))</f>
        <v/>
      </c>
      <c r="G271" s="8" t="str">
        <f>IF($D271="","",INDEX('02_能力差距自评'!$E:$E,MATCH($D271,'02_能力差距自评'!$F:$F,0)))</f>
        <v/>
      </c>
      <c r="H271" s="8" t="str">
        <f>IF($D271="","",INDEX('02_能力差距自评'!$L:$L,MATCH($D271,'02_能力差距自评'!$F:$F,0)))</f>
        <v/>
      </c>
      <c r="I271" s="8" t="str">
        <f>IF($D271="","",INDEX('02_能力差距自评'!$M:$M,MATCH($D271,'02_能力差距自评'!$F:$F,0)))</f>
        <v/>
      </c>
      <c r="J271" s="8" t="str">
        <f>IF($D271="","",INDEX('02_能力差距自评'!$N:$N,MATCH($D271,'02_能力差距自评'!$F:$F,0)))</f>
        <v/>
      </c>
      <c r="K271" s="8" t="str">
        <f>IF($D271="","",INDEX('02_能力差距自评'!$O:$O,MATCH($D271,'02_能力差距自评'!$F:$F,0)))</f>
        <v/>
      </c>
      <c r="L271" s="8" t="str">
        <f>IF($D271="","",INDEX('02_能力差距自评'!$I:$I,MATCH($D271,'02_能力差距自评'!$F:$F,0)))</f>
        <v/>
      </c>
      <c r="M271" s="8" t="str">
        <f t="shared" si="8"/>
        <v/>
      </c>
      <c r="N271" s="8" t="str">
        <f>IF($D271="","",INDEX('02_能力差距自评'!$J:$J,MATCH($D271,'02_能力差距自评'!$F:$F,0)))</f>
        <v/>
      </c>
      <c r="O271" s="8" t="str">
        <f>IF($D271="","",INDEX('02_能力差距自评'!$K:$K,MATCH($D271,'02_能力差距自评'!$F:$F,0)))</f>
        <v/>
      </c>
      <c r="P271" s="8"/>
      <c r="Q271" s="8"/>
      <c r="R271" s="8"/>
      <c r="S271" s="8" t="str">
        <f t="shared" si="9"/>
        <v/>
      </c>
      <c r="T271" s="8"/>
      <c r="U271" s="8"/>
      <c r="V271" s="8"/>
    </row>
    <row r="272" spans="1:22">
      <c r="A272" s="8" t="str">
        <f>IF($D272="","","LP"&amp;TEXT(ROWS($A$2:A272),"000"))</f>
        <v/>
      </c>
      <c r="B272" s="8" t="str">
        <f>IF($D272="","",IFERROR(INDEX('02_能力差距自评'!$Q:$Q,MATCH($D272,'02_能力差距自评'!$F:$F,0)),""))</f>
        <v/>
      </c>
      <c r="C272" s="8" t="str">
        <f>IF($D272="","",IFERROR(INDEX('02_能力差距自评'!$R:$R,MATCH($D272,'02_能力差距自评'!$F:$F,0)),""))</f>
        <v/>
      </c>
      <c r="D272" s="8" t="str">
        <f>IFERROR(INDEX('02_能力差距自评'!$F$2:$F$311,MATCH(ROWS($D$2:D272),'02_能力差距自评'!$W$2:$W$311,0)),"")</f>
        <v/>
      </c>
      <c r="E272" s="8" t="str">
        <f>IF($D272="","",INDEX('02_能力差距自评'!$G:$G,MATCH($D272,'02_能力差距自评'!$F:$F,0)))</f>
        <v/>
      </c>
      <c r="F272" s="8" t="str">
        <f>IF($D272="","",INDEX('02_能力差距自评'!$C:$C,MATCH($D272,'02_能力差距自评'!$F:$F,0)))</f>
        <v/>
      </c>
      <c r="G272" s="8" t="str">
        <f>IF($D272="","",INDEX('02_能力差距自评'!$E:$E,MATCH($D272,'02_能力差距自评'!$F:$F,0)))</f>
        <v/>
      </c>
      <c r="H272" s="8" t="str">
        <f>IF($D272="","",INDEX('02_能力差距自评'!$L:$L,MATCH($D272,'02_能力差距自评'!$F:$F,0)))</f>
        <v/>
      </c>
      <c r="I272" s="8" t="str">
        <f>IF($D272="","",INDEX('02_能力差距自评'!$M:$M,MATCH($D272,'02_能力差距自评'!$F:$F,0)))</f>
        <v/>
      </c>
      <c r="J272" s="8" t="str">
        <f>IF($D272="","",INDEX('02_能力差距自评'!$N:$N,MATCH($D272,'02_能力差距自评'!$F:$F,0)))</f>
        <v/>
      </c>
      <c r="K272" s="8" t="str">
        <f>IF($D272="","",INDEX('02_能力差距自评'!$O:$O,MATCH($D272,'02_能力差距自评'!$F:$F,0)))</f>
        <v/>
      </c>
      <c r="L272" s="8" t="str">
        <f>IF($D272="","",INDEX('02_能力差距自评'!$I:$I,MATCH($D272,'02_能力差距自评'!$F:$F,0)))</f>
        <v/>
      </c>
      <c r="M272" s="8" t="str">
        <f t="shared" si="8"/>
        <v/>
      </c>
      <c r="N272" s="8" t="str">
        <f>IF($D272="","",INDEX('02_能力差距自评'!$J:$J,MATCH($D272,'02_能力差距自评'!$F:$F,0)))</f>
        <v/>
      </c>
      <c r="O272" s="8" t="str">
        <f>IF($D272="","",INDEX('02_能力差距自评'!$K:$K,MATCH($D272,'02_能力差距自评'!$F:$F,0)))</f>
        <v/>
      </c>
      <c r="P272" s="8"/>
      <c r="Q272" s="8"/>
      <c r="R272" s="8"/>
      <c r="S272" s="8" t="str">
        <f t="shared" si="9"/>
        <v/>
      </c>
      <c r="T272" s="8"/>
      <c r="U272" s="8"/>
      <c r="V272" s="8"/>
    </row>
    <row r="273" spans="1:22">
      <c r="A273" s="8" t="str">
        <f>IF($D273="","","LP"&amp;TEXT(ROWS($A$2:A273),"000"))</f>
        <v/>
      </c>
      <c r="B273" s="8" t="str">
        <f>IF($D273="","",IFERROR(INDEX('02_能力差距自评'!$Q:$Q,MATCH($D273,'02_能力差距自评'!$F:$F,0)),""))</f>
        <v/>
      </c>
      <c r="C273" s="8" t="str">
        <f>IF($D273="","",IFERROR(INDEX('02_能力差距自评'!$R:$R,MATCH($D273,'02_能力差距自评'!$F:$F,0)),""))</f>
        <v/>
      </c>
      <c r="D273" s="8" t="str">
        <f>IFERROR(INDEX('02_能力差距自评'!$F$2:$F$311,MATCH(ROWS($D$2:D273),'02_能力差距自评'!$W$2:$W$311,0)),"")</f>
        <v/>
      </c>
      <c r="E273" s="8" t="str">
        <f>IF($D273="","",INDEX('02_能力差距自评'!$G:$G,MATCH($D273,'02_能力差距自评'!$F:$F,0)))</f>
        <v/>
      </c>
      <c r="F273" s="8" t="str">
        <f>IF($D273="","",INDEX('02_能力差距自评'!$C:$C,MATCH($D273,'02_能力差距自评'!$F:$F,0)))</f>
        <v/>
      </c>
      <c r="G273" s="8" t="str">
        <f>IF($D273="","",INDEX('02_能力差距自评'!$E:$E,MATCH($D273,'02_能力差距自评'!$F:$F,0)))</f>
        <v/>
      </c>
      <c r="H273" s="8" t="str">
        <f>IF($D273="","",INDEX('02_能力差距自评'!$L:$L,MATCH($D273,'02_能力差距自评'!$F:$F,0)))</f>
        <v/>
      </c>
      <c r="I273" s="8" t="str">
        <f>IF($D273="","",INDEX('02_能力差距自评'!$M:$M,MATCH($D273,'02_能力差距自评'!$F:$F,0)))</f>
        <v/>
      </c>
      <c r="J273" s="8" t="str">
        <f>IF($D273="","",INDEX('02_能力差距自评'!$N:$N,MATCH($D273,'02_能力差距自评'!$F:$F,0)))</f>
        <v/>
      </c>
      <c r="K273" s="8" t="str">
        <f>IF($D273="","",INDEX('02_能力差距自评'!$O:$O,MATCH($D273,'02_能力差距自评'!$F:$F,0)))</f>
        <v/>
      </c>
      <c r="L273" s="8" t="str">
        <f>IF($D273="","",INDEX('02_能力差距自评'!$I:$I,MATCH($D273,'02_能力差距自评'!$F:$F,0)))</f>
        <v/>
      </c>
      <c r="M273" s="8" t="str">
        <f t="shared" si="8"/>
        <v/>
      </c>
      <c r="N273" s="8" t="str">
        <f>IF($D273="","",INDEX('02_能力差距自评'!$J:$J,MATCH($D273,'02_能力差距自评'!$F:$F,0)))</f>
        <v/>
      </c>
      <c r="O273" s="8" t="str">
        <f>IF($D273="","",INDEX('02_能力差距自评'!$K:$K,MATCH($D273,'02_能力差距自评'!$F:$F,0)))</f>
        <v/>
      </c>
      <c r="P273" s="8"/>
      <c r="Q273" s="8"/>
      <c r="R273" s="8"/>
      <c r="S273" s="8" t="str">
        <f t="shared" si="9"/>
        <v/>
      </c>
      <c r="T273" s="8"/>
      <c r="U273" s="8"/>
      <c r="V273" s="8"/>
    </row>
    <row r="274" spans="1:22">
      <c r="A274" s="8" t="str">
        <f>IF($D274="","","LP"&amp;TEXT(ROWS($A$2:A274),"000"))</f>
        <v/>
      </c>
      <c r="B274" s="8" t="str">
        <f>IF($D274="","",IFERROR(INDEX('02_能力差距自评'!$Q:$Q,MATCH($D274,'02_能力差距自评'!$F:$F,0)),""))</f>
        <v/>
      </c>
      <c r="C274" s="8" t="str">
        <f>IF($D274="","",IFERROR(INDEX('02_能力差距自评'!$R:$R,MATCH($D274,'02_能力差距自评'!$F:$F,0)),""))</f>
        <v/>
      </c>
      <c r="D274" s="8" t="str">
        <f>IFERROR(INDEX('02_能力差距自评'!$F$2:$F$311,MATCH(ROWS($D$2:D274),'02_能力差距自评'!$W$2:$W$311,0)),"")</f>
        <v/>
      </c>
      <c r="E274" s="8" t="str">
        <f>IF($D274="","",INDEX('02_能力差距自评'!$G:$G,MATCH($D274,'02_能力差距自评'!$F:$F,0)))</f>
        <v/>
      </c>
      <c r="F274" s="8" t="str">
        <f>IF($D274="","",INDEX('02_能力差距自评'!$C:$C,MATCH($D274,'02_能力差距自评'!$F:$F,0)))</f>
        <v/>
      </c>
      <c r="G274" s="8" t="str">
        <f>IF($D274="","",INDEX('02_能力差距自评'!$E:$E,MATCH($D274,'02_能力差距自评'!$F:$F,0)))</f>
        <v/>
      </c>
      <c r="H274" s="8" t="str">
        <f>IF($D274="","",INDEX('02_能力差距自评'!$L:$L,MATCH($D274,'02_能力差距自评'!$F:$F,0)))</f>
        <v/>
      </c>
      <c r="I274" s="8" t="str">
        <f>IF($D274="","",INDEX('02_能力差距自评'!$M:$M,MATCH($D274,'02_能力差距自评'!$F:$F,0)))</f>
        <v/>
      </c>
      <c r="J274" s="8" t="str">
        <f>IF($D274="","",INDEX('02_能力差距自评'!$N:$N,MATCH($D274,'02_能力差距自评'!$F:$F,0)))</f>
        <v/>
      </c>
      <c r="K274" s="8" t="str">
        <f>IF($D274="","",INDEX('02_能力差距自评'!$O:$O,MATCH($D274,'02_能力差距自评'!$F:$F,0)))</f>
        <v/>
      </c>
      <c r="L274" s="8" t="str">
        <f>IF($D274="","",INDEX('02_能力差距自评'!$I:$I,MATCH($D274,'02_能力差距自评'!$F:$F,0)))</f>
        <v/>
      </c>
      <c r="M274" s="8" t="str">
        <f t="shared" si="8"/>
        <v/>
      </c>
      <c r="N274" s="8" t="str">
        <f>IF($D274="","",INDEX('02_能力差距自评'!$J:$J,MATCH($D274,'02_能力差距自评'!$F:$F,0)))</f>
        <v/>
      </c>
      <c r="O274" s="8" t="str">
        <f>IF($D274="","",INDEX('02_能力差距自评'!$K:$K,MATCH($D274,'02_能力差距自评'!$F:$F,0)))</f>
        <v/>
      </c>
      <c r="P274" s="8"/>
      <c r="Q274" s="8"/>
      <c r="R274" s="8"/>
      <c r="S274" s="8" t="str">
        <f t="shared" si="9"/>
        <v/>
      </c>
      <c r="T274" s="8"/>
      <c r="U274" s="8"/>
      <c r="V274" s="8"/>
    </row>
    <row r="275" spans="1:22">
      <c r="A275" s="8" t="str">
        <f>IF($D275="","","LP"&amp;TEXT(ROWS($A$2:A275),"000"))</f>
        <v/>
      </c>
      <c r="B275" s="8" t="str">
        <f>IF($D275="","",IFERROR(INDEX('02_能力差距自评'!$Q:$Q,MATCH($D275,'02_能力差距自评'!$F:$F,0)),""))</f>
        <v/>
      </c>
      <c r="C275" s="8" t="str">
        <f>IF($D275="","",IFERROR(INDEX('02_能力差距自评'!$R:$R,MATCH($D275,'02_能力差距自评'!$F:$F,0)),""))</f>
        <v/>
      </c>
      <c r="D275" s="8" t="str">
        <f>IFERROR(INDEX('02_能力差距自评'!$F$2:$F$311,MATCH(ROWS($D$2:D275),'02_能力差距自评'!$W$2:$W$311,0)),"")</f>
        <v/>
      </c>
      <c r="E275" s="8" t="str">
        <f>IF($D275="","",INDEX('02_能力差距自评'!$G:$G,MATCH($D275,'02_能力差距自评'!$F:$F,0)))</f>
        <v/>
      </c>
      <c r="F275" s="8" t="str">
        <f>IF($D275="","",INDEX('02_能力差距自评'!$C:$C,MATCH($D275,'02_能力差距自评'!$F:$F,0)))</f>
        <v/>
      </c>
      <c r="G275" s="8" t="str">
        <f>IF($D275="","",INDEX('02_能力差距自评'!$E:$E,MATCH($D275,'02_能力差距自评'!$F:$F,0)))</f>
        <v/>
      </c>
      <c r="H275" s="8" t="str">
        <f>IF($D275="","",INDEX('02_能力差距自评'!$L:$L,MATCH($D275,'02_能力差距自评'!$F:$F,0)))</f>
        <v/>
      </c>
      <c r="I275" s="8" t="str">
        <f>IF($D275="","",INDEX('02_能力差距自评'!$M:$M,MATCH($D275,'02_能力差距自评'!$F:$F,0)))</f>
        <v/>
      </c>
      <c r="J275" s="8" t="str">
        <f>IF($D275="","",INDEX('02_能力差距自评'!$N:$N,MATCH($D275,'02_能力差距自评'!$F:$F,0)))</f>
        <v/>
      </c>
      <c r="K275" s="8" t="str">
        <f>IF($D275="","",INDEX('02_能力差距自评'!$O:$O,MATCH($D275,'02_能力差距自评'!$F:$F,0)))</f>
        <v/>
      </c>
      <c r="L275" s="8" t="str">
        <f>IF($D275="","",INDEX('02_能力差距自评'!$I:$I,MATCH($D275,'02_能力差距自评'!$F:$F,0)))</f>
        <v/>
      </c>
      <c r="M275" s="8" t="str">
        <f t="shared" si="8"/>
        <v/>
      </c>
      <c r="N275" s="8" t="str">
        <f>IF($D275="","",INDEX('02_能力差距自评'!$J:$J,MATCH($D275,'02_能力差距自评'!$F:$F,0)))</f>
        <v/>
      </c>
      <c r="O275" s="8" t="str">
        <f>IF($D275="","",INDEX('02_能力差距自评'!$K:$K,MATCH($D275,'02_能力差距自评'!$F:$F,0)))</f>
        <v/>
      </c>
      <c r="P275" s="8"/>
      <c r="Q275" s="8"/>
      <c r="R275" s="8"/>
      <c r="S275" s="8" t="str">
        <f t="shared" si="9"/>
        <v/>
      </c>
      <c r="T275" s="8"/>
      <c r="U275" s="8"/>
      <c r="V275" s="8"/>
    </row>
    <row r="276" spans="1:22">
      <c r="A276" s="8" t="str">
        <f>IF($D276="","","LP"&amp;TEXT(ROWS($A$2:A276),"000"))</f>
        <v/>
      </c>
      <c r="B276" s="8" t="str">
        <f>IF($D276="","",IFERROR(INDEX('02_能力差距自评'!$Q:$Q,MATCH($D276,'02_能力差距自评'!$F:$F,0)),""))</f>
        <v/>
      </c>
      <c r="C276" s="8" t="str">
        <f>IF($D276="","",IFERROR(INDEX('02_能力差距自评'!$R:$R,MATCH($D276,'02_能力差距自评'!$F:$F,0)),""))</f>
        <v/>
      </c>
      <c r="D276" s="8" t="str">
        <f>IFERROR(INDEX('02_能力差距自评'!$F$2:$F$311,MATCH(ROWS($D$2:D276),'02_能力差距自评'!$W$2:$W$311,0)),"")</f>
        <v/>
      </c>
      <c r="E276" s="8" t="str">
        <f>IF($D276="","",INDEX('02_能力差距自评'!$G:$G,MATCH($D276,'02_能力差距自评'!$F:$F,0)))</f>
        <v/>
      </c>
      <c r="F276" s="8" t="str">
        <f>IF($D276="","",INDEX('02_能力差距自评'!$C:$C,MATCH($D276,'02_能力差距自评'!$F:$F,0)))</f>
        <v/>
      </c>
      <c r="G276" s="8" t="str">
        <f>IF($D276="","",INDEX('02_能力差距自评'!$E:$E,MATCH($D276,'02_能力差距自评'!$F:$F,0)))</f>
        <v/>
      </c>
      <c r="H276" s="8" t="str">
        <f>IF($D276="","",INDEX('02_能力差距自评'!$L:$L,MATCH($D276,'02_能力差距自评'!$F:$F,0)))</f>
        <v/>
      </c>
      <c r="I276" s="8" t="str">
        <f>IF($D276="","",INDEX('02_能力差距自评'!$M:$M,MATCH($D276,'02_能力差距自评'!$F:$F,0)))</f>
        <v/>
      </c>
      <c r="J276" s="8" t="str">
        <f>IF($D276="","",INDEX('02_能力差距自评'!$N:$N,MATCH($D276,'02_能力差距自评'!$F:$F,0)))</f>
        <v/>
      </c>
      <c r="K276" s="8" t="str">
        <f>IF($D276="","",INDEX('02_能力差距自评'!$O:$O,MATCH($D276,'02_能力差距自评'!$F:$F,0)))</f>
        <v/>
      </c>
      <c r="L276" s="8" t="str">
        <f>IF($D276="","",INDEX('02_能力差距自评'!$I:$I,MATCH($D276,'02_能力差距自评'!$F:$F,0)))</f>
        <v/>
      </c>
      <c r="M276" s="8" t="str">
        <f t="shared" si="8"/>
        <v/>
      </c>
      <c r="N276" s="8" t="str">
        <f>IF($D276="","",INDEX('02_能力差距自评'!$J:$J,MATCH($D276,'02_能力差距自评'!$F:$F,0)))</f>
        <v/>
      </c>
      <c r="O276" s="8" t="str">
        <f>IF($D276="","",INDEX('02_能力差距自评'!$K:$K,MATCH($D276,'02_能力差距自评'!$F:$F,0)))</f>
        <v/>
      </c>
      <c r="P276" s="8"/>
      <c r="Q276" s="8"/>
      <c r="R276" s="8"/>
      <c r="S276" s="8" t="str">
        <f t="shared" si="9"/>
        <v/>
      </c>
      <c r="T276" s="8"/>
      <c r="U276" s="8"/>
      <c r="V276" s="8"/>
    </row>
    <row r="277" spans="1:22">
      <c r="A277" s="8" t="str">
        <f>IF($D277="","","LP"&amp;TEXT(ROWS($A$2:A277),"000"))</f>
        <v/>
      </c>
      <c r="B277" s="8" t="str">
        <f>IF($D277="","",IFERROR(INDEX('02_能力差距自评'!$Q:$Q,MATCH($D277,'02_能力差距自评'!$F:$F,0)),""))</f>
        <v/>
      </c>
      <c r="C277" s="8" t="str">
        <f>IF($D277="","",IFERROR(INDEX('02_能力差距自评'!$R:$R,MATCH($D277,'02_能力差距自评'!$F:$F,0)),""))</f>
        <v/>
      </c>
      <c r="D277" s="8" t="str">
        <f>IFERROR(INDEX('02_能力差距自评'!$F$2:$F$311,MATCH(ROWS($D$2:D277),'02_能力差距自评'!$W$2:$W$311,0)),"")</f>
        <v/>
      </c>
      <c r="E277" s="8" t="str">
        <f>IF($D277="","",INDEX('02_能力差距自评'!$G:$G,MATCH($D277,'02_能力差距自评'!$F:$F,0)))</f>
        <v/>
      </c>
      <c r="F277" s="8" t="str">
        <f>IF($D277="","",INDEX('02_能力差距自评'!$C:$C,MATCH($D277,'02_能力差距自评'!$F:$F,0)))</f>
        <v/>
      </c>
      <c r="G277" s="8" t="str">
        <f>IF($D277="","",INDEX('02_能力差距自评'!$E:$E,MATCH($D277,'02_能力差距自评'!$F:$F,0)))</f>
        <v/>
      </c>
      <c r="H277" s="8" t="str">
        <f>IF($D277="","",INDEX('02_能力差距自评'!$L:$L,MATCH($D277,'02_能力差距自评'!$F:$F,0)))</f>
        <v/>
      </c>
      <c r="I277" s="8" t="str">
        <f>IF($D277="","",INDEX('02_能力差距自评'!$M:$M,MATCH($D277,'02_能力差距自评'!$F:$F,0)))</f>
        <v/>
      </c>
      <c r="J277" s="8" t="str">
        <f>IF($D277="","",INDEX('02_能力差距自评'!$N:$N,MATCH($D277,'02_能力差距自评'!$F:$F,0)))</f>
        <v/>
      </c>
      <c r="K277" s="8" t="str">
        <f>IF($D277="","",INDEX('02_能力差距自评'!$O:$O,MATCH($D277,'02_能力差距自评'!$F:$F,0)))</f>
        <v/>
      </c>
      <c r="L277" s="8" t="str">
        <f>IF($D277="","",INDEX('02_能力差距自评'!$I:$I,MATCH($D277,'02_能力差距自评'!$F:$F,0)))</f>
        <v/>
      </c>
      <c r="M277" s="8" t="str">
        <f t="shared" si="8"/>
        <v/>
      </c>
      <c r="N277" s="8" t="str">
        <f>IF($D277="","",INDEX('02_能力差距自评'!$J:$J,MATCH($D277,'02_能力差距自评'!$F:$F,0)))</f>
        <v/>
      </c>
      <c r="O277" s="8" t="str">
        <f>IF($D277="","",INDEX('02_能力差距自评'!$K:$K,MATCH($D277,'02_能力差距自评'!$F:$F,0)))</f>
        <v/>
      </c>
      <c r="P277" s="8"/>
      <c r="Q277" s="8"/>
      <c r="R277" s="8"/>
      <c r="S277" s="8" t="str">
        <f t="shared" si="9"/>
        <v/>
      </c>
      <c r="T277" s="8"/>
      <c r="U277" s="8"/>
      <c r="V277" s="8"/>
    </row>
    <row r="278" spans="1:22">
      <c r="A278" s="8" t="str">
        <f>IF($D278="","","LP"&amp;TEXT(ROWS($A$2:A278),"000"))</f>
        <v/>
      </c>
      <c r="B278" s="8" t="str">
        <f>IF($D278="","",IFERROR(INDEX('02_能力差距自评'!$Q:$Q,MATCH($D278,'02_能力差距自评'!$F:$F,0)),""))</f>
        <v/>
      </c>
      <c r="C278" s="8" t="str">
        <f>IF($D278="","",IFERROR(INDEX('02_能力差距自评'!$R:$R,MATCH($D278,'02_能力差距自评'!$F:$F,0)),""))</f>
        <v/>
      </c>
      <c r="D278" s="8" t="str">
        <f>IFERROR(INDEX('02_能力差距自评'!$F$2:$F$311,MATCH(ROWS($D$2:D278),'02_能力差距自评'!$W$2:$W$311,0)),"")</f>
        <v/>
      </c>
      <c r="E278" s="8" t="str">
        <f>IF($D278="","",INDEX('02_能力差距自评'!$G:$G,MATCH($D278,'02_能力差距自评'!$F:$F,0)))</f>
        <v/>
      </c>
      <c r="F278" s="8" t="str">
        <f>IF($D278="","",INDEX('02_能力差距自评'!$C:$C,MATCH($D278,'02_能力差距自评'!$F:$F,0)))</f>
        <v/>
      </c>
      <c r="G278" s="8" t="str">
        <f>IF($D278="","",INDEX('02_能力差距自评'!$E:$E,MATCH($D278,'02_能力差距自评'!$F:$F,0)))</f>
        <v/>
      </c>
      <c r="H278" s="8" t="str">
        <f>IF($D278="","",INDEX('02_能力差距自评'!$L:$L,MATCH($D278,'02_能力差距自评'!$F:$F,0)))</f>
        <v/>
      </c>
      <c r="I278" s="8" t="str">
        <f>IF($D278="","",INDEX('02_能力差距自评'!$M:$M,MATCH($D278,'02_能力差距自评'!$F:$F,0)))</f>
        <v/>
      </c>
      <c r="J278" s="8" t="str">
        <f>IF($D278="","",INDEX('02_能力差距自评'!$N:$N,MATCH($D278,'02_能力差距自评'!$F:$F,0)))</f>
        <v/>
      </c>
      <c r="K278" s="8" t="str">
        <f>IF($D278="","",INDEX('02_能力差距自评'!$O:$O,MATCH($D278,'02_能力差距自评'!$F:$F,0)))</f>
        <v/>
      </c>
      <c r="L278" s="8" t="str">
        <f>IF($D278="","",INDEX('02_能力差距自评'!$I:$I,MATCH($D278,'02_能力差距自评'!$F:$F,0)))</f>
        <v/>
      </c>
      <c r="M278" s="8" t="str">
        <f t="shared" si="8"/>
        <v/>
      </c>
      <c r="N278" s="8" t="str">
        <f>IF($D278="","",INDEX('02_能力差距自评'!$J:$J,MATCH($D278,'02_能力差距自评'!$F:$F,0)))</f>
        <v/>
      </c>
      <c r="O278" s="8" t="str">
        <f>IF($D278="","",INDEX('02_能力差距自评'!$K:$K,MATCH($D278,'02_能力差距自评'!$F:$F,0)))</f>
        <v/>
      </c>
      <c r="P278" s="8"/>
      <c r="Q278" s="8"/>
      <c r="R278" s="8"/>
      <c r="S278" s="8" t="str">
        <f t="shared" si="9"/>
        <v/>
      </c>
      <c r="T278" s="8"/>
      <c r="U278" s="8"/>
      <c r="V278" s="8"/>
    </row>
    <row r="279" spans="1:22">
      <c r="A279" s="8" t="str">
        <f>IF($D279="","","LP"&amp;TEXT(ROWS($A$2:A279),"000"))</f>
        <v/>
      </c>
      <c r="B279" s="8" t="str">
        <f>IF($D279="","",IFERROR(INDEX('02_能力差距自评'!$Q:$Q,MATCH($D279,'02_能力差距自评'!$F:$F,0)),""))</f>
        <v/>
      </c>
      <c r="C279" s="8" t="str">
        <f>IF($D279="","",IFERROR(INDEX('02_能力差距自评'!$R:$R,MATCH($D279,'02_能力差距自评'!$F:$F,0)),""))</f>
        <v/>
      </c>
      <c r="D279" s="8" t="str">
        <f>IFERROR(INDEX('02_能力差距自评'!$F$2:$F$311,MATCH(ROWS($D$2:D279),'02_能力差距自评'!$W$2:$W$311,0)),"")</f>
        <v/>
      </c>
      <c r="E279" s="8" t="str">
        <f>IF($D279="","",INDEX('02_能力差距自评'!$G:$G,MATCH($D279,'02_能力差距自评'!$F:$F,0)))</f>
        <v/>
      </c>
      <c r="F279" s="8" t="str">
        <f>IF($D279="","",INDEX('02_能力差距自评'!$C:$C,MATCH($D279,'02_能力差距自评'!$F:$F,0)))</f>
        <v/>
      </c>
      <c r="G279" s="8" t="str">
        <f>IF($D279="","",INDEX('02_能力差距自评'!$E:$E,MATCH($D279,'02_能力差距自评'!$F:$F,0)))</f>
        <v/>
      </c>
      <c r="H279" s="8" t="str">
        <f>IF($D279="","",INDEX('02_能力差距自评'!$L:$L,MATCH($D279,'02_能力差距自评'!$F:$F,0)))</f>
        <v/>
      </c>
      <c r="I279" s="8" t="str">
        <f>IF($D279="","",INDEX('02_能力差距自评'!$M:$M,MATCH($D279,'02_能力差距自评'!$F:$F,0)))</f>
        <v/>
      </c>
      <c r="J279" s="8" t="str">
        <f>IF($D279="","",INDEX('02_能力差距自评'!$N:$N,MATCH($D279,'02_能力差距自评'!$F:$F,0)))</f>
        <v/>
      </c>
      <c r="K279" s="8" t="str">
        <f>IF($D279="","",INDEX('02_能力差距自评'!$O:$O,MATCH($D279,'02_能力差距自评'!$F:$F,0)))</f>
        <v/>
      </c>
      <c r="L279" s="8" t="str">
        <f>IF($D279="","",INDEX('02_能力差距自评'!$I:$I,MATCH($D279,'02_能力差距自评'!$F:$F,0)))</f>
        <v/>
      </c>
      <c r="M279" s="8" t="str">
        <f t="shared" si="8"/>
        <v/>
      </c>
      <c r="N279" s="8" t="str">
        <f>IF($D279="","",INDEX('02_能力差距自评'!$J:$J,MATCH($D279,'02_能力差距自评'!$F:$F,0)))</f>
        <v/>
      </c>
      <c r="O279" s="8" t="str">
        <f>IF($D279="","",INDEX('02_能力差距自评'!$K:$K,MATCH($D279,'02_能力差距自评'!$F:$F,0)))</f>
        <v/>
      </c>
      <c r="P279" s="8"/>
      <c r="Q279" s="8"/>
      <c r="R279" s="8"/>
      <c r="S279" s="8" t="str">
        <f t="shared" si="9"/>
        <v/>
      </c>
      <c r="T279" s="8"/>
      <c r="U279" s="8"/>
      <c r="V279" s="8"/>
    </row>
    <row r="280" spans="1:22">
      <c r="A280" s="8" t="str">
        <f>IF($D280="","","LP"&amp;TEXT(ROWS($A$2:A280),"000"))</f>
        <v/>
      </c>
      <c r="B280" s="8" t="str">
        <f>IF($D280="","",IFERROR(INDEX('02_能力差距自评'!$Q:$Q,MATCH($D280,'02_能力差距自评'!$F:$F,0)),""))</f>
        <v/>
      </c>
      <c r="C280" s="8" t="str">
        <f>IF($D280="","",IFERROR(INDEX('02_能力差距自评'!$R:$R,MATCH($D280,'02_能力差距自评'!$F:$F,0)),""))</f>
        <v/>
      </c>
      <c r="D280" s="8" t="str">
        <f>IFERROR(INDEX('02_能力差距自评'!$F$2:$F$311,MATCH(ROWS($D$2:D280),'02_能力差距自评'!$W$2:$W$311,0)),"")</f>
        <v/>
      </c>
      <c r="E280" s="8" t="str">
        <f>IF($D280="","",INDEX('02_能力差距自评'!$G:$G,MATCH($D280,'02_能力差距自评'!$F:$F,0)))</f>
        <v/>
      </c>
      <c r="F280" s="8" t="str">
        <f>IF($D280="","",INDEX('02_能力差距自评'!$C:$C,MATCH($D280,'02_能力差距自评'!$F:$F,0)))</f>
        <v/>
      </c>
      <c r="G280" s="8" t="str">
        <f>IF($D280="","",INDEX('02_能力差距自评'!$E:$E,MATCH($D280,'02_能力差距自评'!$F:$F,0)))</f>
        <v/>
      </c>
      <c r="H280" s="8" t="str">
        <f>IF($D280="","",INDEX('02_能力差距自评'!$L:$L,MATCH($D280,'02_能力差距自评'!$F:$F,0)))</f>
        <v/>
      </c>
      <c r="I280" s="8" t="str">
        <f>IF($D280="","",INDEX('02_能力差距自评'!$M:$M,MATCH($D280,'02_能力差距自评'!$F:$F,0)))</f>
        <v/>
      </c>
      <c r="J280" s="8" t="str">
        <f>IF($D280="","",INDEX('02_能力差距自评'!$N:$N,MATCH($D280,'02_能力差距自评'!$F:$F,0)))</f>
        <v/>
      </c>
      <c r="K280" s="8" t="str">
        <f>IF($D280="","",INDEX('02_能力差距自评'!$O:$O,MATCH($D280,'02_能力差距自评'!$F:$F,0)))</f>
        <v/>
      </c>
      <c r="L280" s="8" t="str">
        <f>IF($D280="","",INDEX('02_能力差距自评'!$I:$I,MATCH($D280,'02_能力差距自评'!$F:$F,0)))</f>
        <v/>
      </c>
      <c r="M280" s="8" t="str">
        <f t="shared" si="8"/>
        <v/>
      </c>
      <c r="N280" s="8" t="str">
        <f>IF($D280="","",INDEX('02_能力差距自评'!$J:$J,MATCH($D280,'02_能力差距自评'!$F:$F,0)))</f>
        <v/>
      </c>
      <c r="O280" s="8" t="str">
        <f>IF($D280="","",INDEX('02_能力差距自评'!$K:$K,MATCH($D280,'02_能力差距自评'!$F:$F,0)))</f>
        <v/>
      </c>
      <c r="P280" s="8"/>
      <c r="Q280" s="8"/>
      <c r="R280" s="8"/>
      <c r="S280" s="8" t="str">
        <f t="shared" si="9"/>
        <v/>
      </c>
      <c r="T280" s="8"/>
      <c r="U280" s="8"/>
      <c r="V280" s="8"/>
    </row>
    <row r="281" spans="1:22">
      <c r="A281" s="8" t="str">
        <f>IF($D281="","","LP"&amp;TEXT(ROWS($A$2:A281),"000"))</f>
        <v/>
      </c>
      <c r="B281" s="8" t="str">
        <f>IF($D281="","",IFERROR(INDEX('02_能力差距自评'!$Q:$Q,MATCH($D281,'02_能力差距自评'!$F:$F,0)),""))</f>
        <v/>
      </c>
      <c r="C281" s="8" t="str">
        <f>IF($D281="","",IFERROR(INDEX('02_能力差距自评'!$R:$R,MATCH($D281,'02_能力差距自评'!$F:$F,0)),""))</f>
        <v/>
      </c>
      <c r="D281" s="8" t="str">
        <f>IFERROR(INDEX('02_能力差距自评'!$F$2:$F$311,MATCH(ROWS($D$2:D281),'02_能力差距自评'!$W$2:$W$311,0)),"")</f>
        <v/>
      </c>
      <c r="E281" s="8" t="str">
        <f>IF($D281="","",INDEX('02_能力差距自评'!$G:$G,MATCH($D281,'02_能力差距自评'!$F:$F,0)))</f>
        <v/>
      </c>
      <c r="F281" s="8" t="str">
        <f>IF($D281="","",INDEX('02_能力差距自评'!$C:$C,MATCH($D281,'02_能力差距自评'!$F:$F,0)))</f>
        <v/>
      </c>
      <c r="G281" s="8" t="str">
        <f>IF($D281="","",INDEX('02_能力差距自评'!$E:$E,MATCH($D281,'02_能力差距自评'!$F:$F,0)))</f>
        <v/>
      </c>
      <c r="H281" s="8" t="str">
        <f>IF($D281="","",INDEX('02_能力差距自评'!$L:$L,MATCH($D281,'02_能力差距自评'!$F:$F,0)))</f>
        <v/>
      </c>
      <c r="I281" s="8" t="str">
        <f>IF($D281="","",INDEX('02_能力差距自评'!$M:$M,MATCH($D281,'02_能力差距自评'!$F:$F,0)))</f>
        <v/>
      </c>
      <c r="J281" s="8" t="str">
        <f>IF($D281="","",INDEX('02_能力差距自评'!$N:$N,MATCH($D281,'02_能力差距自评'!$F:$F,0)))</f>
        <v/>
      </c>
      <c r="K281" s="8" t="str">
        <f>IF($D281="","",INDEX('02_能力差距自评'!$O:$O,MATCH($D281,'02_能力差距自评'!$F:$F,0)))</f>
        <v/>
      </c>
      <c r="L281" s="8" t="str">
        <f>IF($D281="","",INDEX('02_能力差距自评'!$I:$I,MATCH($D281,'02_能力差距自评'!$F:$F,0)))</f>
        <v/>
      </c>
      <c r="M281" s="8" t="str">
        <f t="shared" si="8"/>
        <v/>
      </c>
      <c r="N281" s="8" t="str">
        <f>IF($D281="","",INDEX('02_能力差距自评'!$J:$J,MATCH($D281,'02_能力差距自评'!$F:$F,0)))</f>
        <v/>
      </c>
      <c r="O281" s="8" t="str">
        <f>IF($D281="","",INDEX('02_能力差距自评'!$K:$K,MATCH($D281,'02_能力差距自评'!$F:$F,0)))</f>
        <v/>
      </c>
      <c r="P281" s="8"/>
      <c r="Q281" s="8"/>
      <c r="R281" s="8"/>
      <c r="S281" s="8" t="str">
        <f t="shared" si="9"/>
        <v/>
      </c>
      <c r="T281" s="8"/>
      <c r="U281" s="8"/>
      <c r="V281" s="8"/>
    </row>
    <row r="282" spans="1:22">
      <c r="A282" s="8" t="str">
        <f>IF($D282="","","LP"&amp;TEXT(ROWS($A$2:A282),"000"))</f>
        <v/>
      </c>
      <c r="B282" s="8" t="str">
        <f>IF($D282="","",IFERROR(INDEX('02_能力差距自评'!$Q:$Q,MATCH($D282,'02_能力差距自评'!$F:$F,0)),""))</f>
        <v/>
      </c>
      <c r="C282" s="8" t="str">
        <f>IF($D282="","",IFERROR(INDEX('02_能力差距自评'!$R:$R,MATCH($D282,'02_能力差距自评'!$F:$F,0)),""))</f>
        <v/>
      </c>
      <c r="D282" s="8" t="str">
        <f>IFERROR(INDEX('02_能力差距自评'!$F$2:$F$311,MATCH(ROWS($D$2:D282),'02_能力差距自评'!$W$2:$W$311,0)),"")</f>
        <v/>
      </c>
      <c r="E282" s="8" t="str">
        <f>IF($D282="","",INDEX('02_能力差距自评'!$G:$G,MATCH($D282,'02_能力差距自评'!$F:$F,0)))</f>
        <v/>
      </c>
      <c r="F282" s="8" t="str">
        <f>IF($D282="","",INDEX('02_能力差距自评'!$C:$C,MATCH($D282,'02_能力差距自评'!$F:$F,0)))</f>
        <v/>
      </c>
      <c r="G282" s="8" t="str">
        <f>IF($D282="","",INDEX('02_能力差距自评'!$E:$E,MATCH($D282,'02_能力差距自评'!$F:$F,0)))</f>
        <v/>
      </c>
      <c r="H282" s="8" t="str">
        <f>IF($D282="","",INDEX('02_能力差距自评'!$L:$L,MATCH($D282,'02_能力差距自评'!$F:$F,0)))</f>
        <v/>
      </c>
      <c r="I282" s="8" t="str">
        <f>IF($D282="","",INDEX('02_能力差距自评'!$M:$M,MATCH($D282,'02_能力差距自评'!$F:$F,0)))</f>
        <v/>
      </c>
      <c r="J282" s="8" t="str">
        <f>IF($D282="","",INDEX('02_能力差距自评'!$N:$N,MATCH($D282,'02_能力差距自评'!$F:$F,0)))</f>
        <v/>
      </c>
      <c r="K282" s="8" t="str">
        <f>IF($D282="","",INDEX('02_能力差距自评'!$O:$O,MATCH($D282,'02_能力差距自评'!$F:$F,0)))</f>
        <v/>
      </c>
      <c r="L282" s="8" t="str">
        <f>IF($D282="","",INDEX('02_能力差距自评'!$I:$I,MATCH($D282,'02_能力差距自评'!$F:$F,0)))</f>
        <v/>
      </c>
      <c r="M282" s="8" t="str">
        <f t="shared" si="8"/>
        <v/>
      </c>
      <c r="N282" s="8" t="str">
        <f>IF($D282="","",INDEX('02_能力差距自评'!$J:$J,MATCH($D282,'02_能力差距自评'!$F:$F,0)))</f>
        <v/>
      </c>
      <c r="O282" s="8" t="str">
        <f>IF($D282="","",INDEX('02_能力差距自评'!$K:$K,MATCH($D282,'02_能力差距自评'!$F:$F,0)))</f>
        <v/>
      </c>
      <c r="P282" s="8"/>
      <c r="Q282" s="8"/>
      <c r="R282" s="8"/>
      <c r="S282" s="8" t="str">
        <f t="shared" si="9"/>
        <v/>
      </c>
      <c r="T282" s="8"/>
      <c r="U282" s="8"/>
      <c r="V282" s="8"/>
    </row>
    <row r="283" spans="1:22">
      <c r="A283" s="8" t="str">
        <f>IF($D283="","","LP"&amp;TEXT(ROWS($A$2:A283),"000"))</f>
        <v/>
      </c>
      <c r="B283" s="8" t="str">
        <f>IF($D283="","",IFERROR(INDEX('02_能力差距自评'!$Q:$Q,MATCH($D283,'02_能力差距自评'!$F:$F,0)),""))</f>
        <v/>
      </c>
      <c r="C283" s="8" t="str">
        <f>IF($D283="","",IFERROR(INDEX('02_能力差距自评'!$R:$R,MATCH($D283,'02_能力差距自评'!$F:$F,0)),""))</f>
        <v/>
      </c>
      <c r="D283" s="8" t="str">
        <f>IFERROR(INDEX('02_能力差距自评'!$F$2:$F$311,MATCH(ROWS($D$2:D283),'02_能力差距自评'!$W$2:$W$311,0)),"")</f>
        <v/>
      </c>
      <c r="E283" s="8" t="str">
        <f>IF($D283="","",INDEX('02_能力差距自评'!$G:$G,MATCH($D283,'02_能力差距自评'!$F:$F,0)))</f>
        <v/>
      </c>
      <c r="F283" s="8" t="str">
        <f>IF($D283="","",INDEX('02_能力差距自评'!$C:$C,MATCH($D283,'02_能力差距自评'!$F:$F,0)))</f>
        <v/>
      </c>
      <c r="G283" s="8" t="str">
        <f>IF($D283="","",INDEX('02_能力差距自评'!$E:$E,MATCH($D283,'02_能力差距自评'!$F:$F,0)))</f>
        <v/>
      </c>
      <c r="H283" s="8" t="str">
        <f>IF($D283="","",INDEX('02_能力差距自评'!$L:$L,MATCH($D283,'02_能力差距自评'!$F:$F,0)))</f>
        <v/>
      </c>
      <c r="I283" s="8" t="str">
        <f>IF($D283="","",INDEX('02_能力差距自评'!$M:$M,MATCH($D283,'02_能力差距自评'!$F:$F,0)))</f>
        <v/>
      </c>
      <c r="J283" s="8" t="str">
        <f>IF($D283="","",INDEX('02_能力差距自评'!$N:$N,MATCH($D283,'02_能力差距自评'!$F:$F,0)))</f>
        <v/>
      </c>
      <c r="K283" s="8" t="str">
        <f>IF($D283="","",INDEX('02_能力差距自评'!$O:$O,MATCH($D283,'02_能力差距自评'!$F:$F,0)))</f>
        <v/>
      </c>
      <c r="L283" s="8" t="str">
        <f>IF($D283="","",INDEX('02_能力差距自评'!$I:$I,MATCH($D283,'02_能力差距自评'!$F:$F,0)))</f>
        <v/>
      </c>
      <c r="M283" s="8" t="str">
        <f t="shared" si="8"/>
        <v/>
      </c>
      <c r="N283" s="8" t="str">
        <f>IF($D283="","",INDEX('02_能力差距自评'!$J:$J,MATCH($D283,'02_能力差距自评'!$F:$F,0)))</f>
        <v/>
      </c>
      <c r="O283" s="8" t="str">
        <f>IF($D283="","",INDEX('02_能力差距自评'!$K:$K,MATCH($D283,'02_能力差距自评'!$F:$F,0)))</f>
        <v/>
      </c>
      <c r="P283" s="8"/>
      <c r="Q283" s="8"/>
      <c r="R283" s="8"/>
      <c r="S283" s="8" t="str">
        <f t="shared" si="9"/>
        <v/>
      </c>
      <c r="T283" s="8"/>
      <c r="U283" s="8"/>
      <c r="V283" s="8"/>
    </row>
    <row r="284" spans="1:22">
      <c r="A284" s="8" t="str">
        <f>IF($D284="","","LP"&amp;TEXT(ROWS($A$2:A284),"000"))</f>
        <v/>
      </c>
      <c r="B284" s="8" t="str">
        <f>IF($D284="","",IFERROR(INDEX('02_能力差距自评'!$Q:$Q,MATCH($D284,'02_能力差距自评'!$F:$F,0)),""))</f>
        <v/>
      </c>
      <c r="C284" s="8" t="str">
        <f>IF($D284="","",IFERROR(INDEX('02_能力差距自评'!$R:$R,MATCH($D284,'02_能力差距自评'!$F:$F,0)),""))</f>
        <v/>
      </c>
      <c r="D284" s="8" t="str">
        <f>IFERROR(INDEX('02_能力差距自评'!$F$2:$F$311,MATCH(ROWS($D$2:D284),'02_能力差距自评'!$W$2:$W$311,0)),"")</f>
        <v/>
      </c>
      <c r="E284" s="8" t="str">
        <f>IF($D284="","",INDEX('02_能力差距自评'!$G:$G,MATCH($D284,'02_能力差距自评'!$F:$F,0)))</f>
        <v/>
      </c>
      <c r="F284" s="8" t="str">
        <f>IF($D284="","",INDEX('02_能力差距自评'!$C:$C,MATCH($D284,'02_能力差距自评'!$F:$F,0)))</f>
        <v/>
      </c>
      <c r="G284" s="8" t="str">
        <f>IF($D284="","",INDEX('02_能力差距自评'!$E:$E,MATCH($D284,'02_能力差距自评'!$F:$F,0)))</f>
        <v/>
      </c>
      <c r="H284" s="8" t="str">
        <f>IF($D284="","",INDEX('02_能力差距自评'!$L:$L,MATCH($D284,'02_能力差距自评'!$F:$F,0)))</f>
        <v/>
      </c>
      <c r="I284" s="8" t="str">
        <f>IF($D284="","",INDEX('02_能力差距自评'!$M:$M,MATCH($D284,'02_能力差距自评'!$F:$F,0)))</f>
        <v/>
      </c>
      <c r="J284" s="8" t="str">
        <f>IF($D284="","",INDEX('02_能力差距自评'!$N:$N,MATCH($D284,'02_能力差距自评'!$F:$F,0)))</f>
        <v/>
      </c>
      <c r="K284" s="8" t="str">
        <f>IF($D284="","",INDEX('02_能力差距自评'!$O:$O,MATCH($D284,'02_能力差距自评'!$F:$F,0)))</f>
        <v/>
      </c>
      <c r="L284" s="8" t="str">
        <f>IF($D284="","",INDEX('02_能力差距自评'!$I:$I,MATCH($D284,'02_能力差距自评'!$F:$F,0)))</f>
        <v/>
      </c>
      <c r="M284" s="8" t="str">
        <f t="shared" si="8"/>
        <v/>
      </c>
      <c r="N284" s="8" t="str">
        <f>IF($D284="","",INDEX('02_能力差距自评'!$J:$J,MATCH($D284,'02_能力差距自评'!$F:$F,0)))</f>
        <v/>
      </c>
      <c r="O284" s="8" t="str">
        <f>IF($D284="","",INDEX('02_能力差距自评'!$K:$K,MATCH($D284,'02_能力差距自评'!$F:$F,0)))</f>
        <v/>
      </c>
      <c r="P284" s="8"/>
      <c r="Q284" s="8"/>
      <c r="R284" s="8"/>
      <c r="S284" s="8" t="str">
        <f t="shared" si="9"/>
        <v/>
      </c>
      <c r="T284" s="8"/>
      <c r="U284" s="8"/>
      <c r="V284" s="8"/>
    </row>
    <row r="285" spans="1:22">
      <c r="A285" s="8" t="str">
        <f>IF($D285="","","LP"&amp;TEXT(ROWS($A$2:A285),"000"))</f>
        <v/>
      </c>
      <c r="B285" s="8" t="str">
        <f>IF($D285="","",IFERROR(INDEX('02_能力差距自评'!$Q:$Q,MATCH($D285,'02_能力差距自评'!$F:$F,0)),""))</f>
        <v/>
      </c>
      <c r="C285" s="8" t="str">
        <f>IF($D285="","",IFERROR(INDEX('02_能力差距自评'!$R:$R,MATCH($D285,'02_能力差距自评'!$F:$F,0)),""))</f>
        <v/>
      </c>
      <c r="D285" s="8" t="str">
        <f>IFERROR(INDEX('02_能力差距自评'!$F$2:$F$311,MATCH(ROWS($D$2:D285),'02_能力差距自评'!$W$2:$W$311,0)),"")</f>
        <v/>
      </c>
      <c r="E285" s="8" t="str">
        <f>IF($D285="","",INDEX('02_能力差距自评'!$G:$G,MATCH($D285,'02_能力差距自评'!$F:$F,0)))</f>
        <v/>
      </c>
      <c r="F285" s="8" t="str">
        <f>IF($D285="","",INDEX('02_能力差距自评'!$C:$C,MATCH($D285,'02_能力差距自评'!$F:$F,0)))</f>
        <v/>
      </c>
      <c r="G285" s="8" t="str">
        <f>IF($D285="","",INDEX('02_能力差距自评'!$E:$E,MATCH($D285,'02_能力差距自评'!$F:$F,0)))</f>
        <v/>
      </c>
      <c r="H285" s="8" t="str">
        <f>IF($D285="","",INDEX('02_能力差距自评'!$L:$L,MATCH($D285,'02_能力差距自评'!$F:$F,0)))</f>
        <v/>
      </c>
      <c r="I285" s="8" t="str">
        <f>IF($D285="","",INDEX('02_能力差距自评'!$M:$M,MATCH($D285,'02_能力差距自评'!$F:$F,0)))</f>
        <v/>
      </c>
      <c r="J285" s="8" t="str">
        <f>IF($D285="","",INDEX('02_能力差距自评'!$N:$N,MATCH($D285,'02_能力差距自评'!$F:$F,0)))</f>
        <v/>
      </c>
      <c r="K285" s="8" t="str">
        <f>IF($D285="","",INDEX('02_能力差距自评'!$O:$O,MATCH($D285,'02_能力差距自评'!$F:$F,0)))</f>
        <v/>
      </c>
      <c r="L285" s="8" t="str">
        <f>IF($D285="","",INDEX('02_能力差距自评'!$I:$I,MATCH($D285,'02_能力差距自评'!$F:$F,0)))</f>
        <v/>
      </c>
      <c r="M285" s="8" t="str">
        <f t="shared" si="8"/>
        <v/>
      </c>
      <c r="N285" s="8" t="str">
        <f>IF($D285="","",INDEX('02_能力差距自评'!$J:$J,MATCH($D285,'02_能力差距自评'!$F:$F,0)))</f>
        <v/>
      </c>
      <c r="O285" s="8" t="str">
        <f>IF($D285="","",INDEX('02_能力差距自评'!$K:$K,MATCH($D285,'02_能力差距自评'!$F:$F,0)))</f>
        <v/>
      </c>
      <c r="P285" s="8"/>
      <c r="Q285" s="8"/>
      <c r="R285" s="8"/>
      <c r="S285" s="8" t="str">
        <f t="shared" si="9"/>
        <v/>
      </c>
      <c r="T285" s="8"/>
      <c r="U285" s="8"/>
      <c r="V285" s="8"/>
    </row>
    <row r="286" spans="1:22">
      <c r="A286" s="8" t="str">
        <f>IF($D286="","","LP"&amp;TEXT(ROWS($A$2:A286),"000"))</f>
        <v/>
      </c>
      <c r="B286" s="8" t="str">
        <f>IF($D286="","",IFERROR(INDEX('02_能力差距自评'!$Q:$Q,MATCH($D286,'02_能力差距自评'!$F:$F,0)),""))</f>
        <v/>
      </c>
      <c r="C286" s="8" t="str">
        <f>IF($D286="","",IFERROR(INDEX('02_能力差距自评'!$R:$R,MATCH($D286,'02_能力差距自评'!$F:$F,0)),""))</f>
        <v/>
      </c>
      <c r="D286" s="8" t="str">
        <f>IFERROR(INDEX('02_能力差距自评'!$F$2:$F$311,MATCH(ROWS($D$2:D286),'02_能力差距自评'!$W$2:$W$311,0)),"")</f>
        <v/>
      </c>
      <c r="E286" s="8" t="str">
        <f>IF($D286="","",INDEX('02_能力差距自评'!$G:$G,MATCH($D286,'02_能力差距自评'!$F:$F,0)))</f>
        <v/>
      </c>
      <c r="F286" s="8" t="str">
        <f>IF($D286="","",INDEX('02_能力差距自评'!$C:$C,MATCH($D286,'02_能力差距自评'!$F:$F,0)))</f>
        <v/>
      </c>
      <c r="G286" s="8" t="str">
        <f>IF($D286="","",INDEX('02_能力差距自评'!$E:$E,MATCH($D286,'02_能力差距自评'!$F:$F,0)))</f>
        <v/>
      </c>
      <c r="H286" s="8" t="str">
        <f>IF($D286="","",INDEX('02_能力差距自评'!$L:$L,MATCH($D286,'02_能力差距自评'!$F:$F,0)))</f>
        <v/>
      </c>
      <c r="I286" s="8" t="str">
        <f>IF($D286="","",INDEX('02_能力差距自评'!$M:$M,MATCH($D286,'02_能力差距自评'!$F:$F,0)))</f>
        <v/>
      </c>
      <c r="J286" s="8" t="str">
        <f>IF($D286="","",INDEX('02_能力差距自评'!$N:$N,MATCH($D286,'02_能力差距自评'!$F:$F,0)))</f>
        <v/>
      </c>
      <c r="K286" s="8" t="str">
        <f>IF($D286="","",INDEX('02_能力差距自评'!$O:$O,MATCH($D286,'02_能力差距自评'!$F:$F,0)))</f>
        <v/>
      </c>
      <c r="L286" s="8" t="str">
        <f>IF($D286="","",INDEX('02_能力差距自评'!$I:$I,MATCH($D286,'02_能力差距自评'!$F:$F,0)))</f>
        <v/>
      </c>
      <c r="M286" s="8" t="str">
        <f t="shared" si="8"/>
        <v/>
      </c>
      <c r="N286" s="8" t="str">
        <f>IF($D286="","",INDEX('02_能力差距自评'!$J:$J,MATCH($D286,'02_能力差距自评'!$F:$F,0)))</f>
        <v/>
      </c>
      <c r="O286" s="8" t="str">
        <f>IF($D286="","",INDEX('02_能力差距自评'!$K:$K,MATCH($D286,'02_能力差距自评'!$F:$F,0)))</f>
        <v/>
      </c>
      <c r="P286" s="8"/>
      <c r="Q286" s="8"/>
      <c r="R286" s="8"/>
      <c r="S286" s="8" t="str">
        <f t="shared" si="9"/>
        <v/>
      </c>
      <c r="T286" s="8"/>
      <c r="U286" s="8"/>
      <c r="V286" s="8"/>
    </row>
    <row r="287" spans="1:22">
      <c r="A287" s="8" t="str">
        <f>IF($D287="","","LP"&amp;TEXT(ROWS($A$2:A287),"000"))</f>
        <v/>
      </c>
      <c r="B287" s="8" t="str">
        <f>IF($D287="","",IFERROR(INDEX('02_能力差距自评'!$Q:$Q,MATCH($D287,'02_能力差距自评'!$F:$F,0)),""))</f>
        <v/>
      </c>
      <c r="C287" s="8" t="str">
        <f>IF($D287="","",IFERROR(INDEX('02_能力差距自评'!$R:$R,MATCH($D287,'02_能力差距自评'!$F:$F,0)),""))</f>
        <v/>
      </c>
      <c r="D287" s="8" t="str">
        <f>IFERROR(INDEX('02_能力差距自评'!$F$2:$F$311,MATCH(ROWS($D$2:D287),'02_能力差距自评'!$W$2:$W$311,0)),"")</f>
        <v/>
      </c>
      <c r="E287" s="8" t="str">
        <f>IF($D287="","",INDEX('02_能力差距自评'!$G:$G,MATCH($D287,'02_能力差距自评'!$F:$F,0)))</f>
        <v/>
      </c>
      <c r="F287" s="8" t="str">
        <f>IF($D287="","",INDEX('02_能力差距自评'!$C:$C,MATCH($D287,'02_能力差距自评'!$F:$F,0)))</f>
        <v/>
      </c>
      <c r="G287" s="8" t="str">
        <f>IF($D287="","",INDEX('02_能力差距自评'!$E:$E,MATCH($D287,'02_能力差距自评'!$F:$F,0)))</f>
        <v/>
      </c>
      <c r="H287" s="8" t="str">
        <f>IF($D287="","",INDEX('02_能力差距自评'!$L:$L,MATCH($D287,'02_能力差距自评'!$F:$F,0)))</f>
        <v/>
      </c>
      <c r="I287" s="8" t="str">
        <f>IF($D287="","",INDEX('02_能力差距自评'!$M:$M,MATCH($D287,'02_能力差距自评'!$F:$F,0)))</f>
        <v/>
      </c>
      <c r="J287" s="8" t="str">
        <f>IF($D287="","",INDEX('02_能力差距自评'!$N:$N,MATCH($D287,'02_能力差距自评'!$F:$F,0)))</f>
        <v/>
      </c>
      <c r="K287" s="8" t="str">
        <f>IF($D287="","",INDEX('02_能力差距自评'!$O:$O,MATCH($D287,'02_能力差距自评'!$F:$F,0)))</f>
        <v/>
      </c>
      <c r="L287" s="8" t="str">
        <f>IF($D287="","",INDEX('02_能力差距自评'!$I:$I,MATCH($D287,'02_能力差距自评'!$F:$F,0)))</f>
        <v/>
      </c>
      <c r="M287" s="8" t="str">
        <f t="shared" si="8"/>
        <v/>
      </c>
      <c r="N287" s="8" t="str">
        <f>IF($D287="","",INDEX('02_能力差距自评'!$J:$J,MATCH($D287,'02_能力差距自评'!$F:$F,0)))</f>
        <v/>
      </c>
      <c r="O287" s="8" t="str">
        <f>IF($D287="","",INDEX('02_能力差距自评'!$K:$K,MATCH($D287,'02_能力差距自评'!$F:$F,0)))</f>
        <v/>
      </c>
      <c r="P287" s="8"/>
      <c r="Q287" s="8"/>
      <c r="R287" s="8"/>
      <c r="S287" s="8" t="str">
        <f t="shared" si="9"/>
        <v/>
      </c>
      <c r="T287" s="8"/>
      <c r="U287" s="8"/>
      <c r="V287" s="8"/>
    </row>
    <row r="288" spans="1:22">
      <c r="A288" s="8" t="str">
        <f>IF($D288="","","LP"&amp;TEXT(ROWS($A$2:A288),"000"))</f>
        <v/>
      </c>
      <c r="B288" s="8" t="str">
        <f>IF($D288="","",IFERROR(INDEX('02_能力差距自评'!$Q:$Q,MATCH($D288,'02_能力差距自评'!$F:$F,0)),""))</f>
        <v/>
      </c>
      <c r="C288" s="8" t="str">
        <f>IF($D288="","",IFERROR(INDEX('02_能力差距自评'!$R:$R,MATCH($D288,'02_能力差距自评'!$F:$F,0)),""))</f>
        <v/>
      </c>
      <c r="D288" s="8" t="str">
        <f>IFERROR(INDEX('02_能力差距自评'!$F$2:$F$311,MATCH(ROWS($D$2:D288),'02_能力差距自评'!$W$2:$W$311,0)),"")</f>
        <v/>
      </c>
      <c r="E288" s="8" t="str">
        <f>IF($D288="","",INDEX('02_能力差距自评'!$G:$G,MATCH($D288,'02_能力差距自评'!$F:$F,0)))</f>
        <v/>
      </c>
      <c r="F288" s="8" t="str">
        <f>IF($D288="","",INDEX('02_能力差距自评'!$C:$C,MATCH($D288,'02_能力差距自评'!$F:$F,0)))</f>
        <v/>
      </c>
      <c r="G288" s="8" t="str">
        <f>IF($D288="","",INDEX('02_能力差距自评'!$E:$E,MATCH($D288,'02_能力差距自评'!$F:$F,0)))</f>
        <v/>
      </c>
      <c r="H288" s="8" t="str">
        <f>IF($D288="","",INDEX('02_能力差距自评'!$L:$L,MATCH($D288,'02_能力差距自评'!$F:$F,0)))</f>
        <v/>
      </c>
      <c r="I288" s="8" t="str">
        <f>IF($D288="","",INDEX('02_能力差距自评'!$M:$M,MATCH($D288,'02_能力差距自评'!$F:$F,0)))</f>
        <v/>
      </c>
      <c r="J288" s="8" t="str">
        <f>IF($D288="","",INDEX('02_能力差距自评'!$N:$N,MATCH($D288,'02_能力差距自评'!$F:$F,0)))</f>
        <v/>
      </c>
      <c r="K288" s="8" t="str">
        <f>IF($D288="","",INDEX('02_能力差距自评'!$O:$O,MATCH($D288,'02_能力差距自评'!$F:$F,0)))</f>
        <v/>
      </c>
      <c r="L288" s="8" t="str">
        <f>IF($D288="","",INDEX('02_能力差距自评'!$I:$I,MATCH($D288,'02_能力差距自评'!$F:$F,0)))</f>
        <v/>
      </c>
      <c r="M288" s="8" t="str">
        <f t="shared" si="8"/>
        <v/>
      </c>
      <c r="N288" s="8" t="str">
        <f>IF($D288="","",INDEX('02_能力差距自评'!$J:$J,MATCH($D288,'02_能力差距自评'!$F:$F,0)))</f>
        <v/>
      </c>
      <c r="O288" s="8" t="str">
        <f>IF($D288="","",INDEX('02_能力差距自评'!$K:$K,MATCH($D288,'02_能力差距自评'!$F:$F,0)))</f>
        <v/>
      </c>
      <c r="P288" s="8"/>
      <c r="Q288" s="8"/>
      <c r="R288" s="8"/>
      <c r="S288" s="8" t="str">
        <f t="shared" si="9"/>
        <v/>
      </c>
      <c r="T288" s="8"/>
      <c r="U288" s="8"/>
      <c r="V288" s="8"/>
    </row>
    <row r="289" spans="1:22">
      <c r="A289" s="8" t="str">
        <f>IF($D289="","","LP"&amp;TEXT(ROWS($A$2:A289),"000"))</f>
        <v/>
      </c>
      <c r="B289" s="8" t="str">
        <f>IF($D289="","",IFERROR(INDEX('02_能力差距自评'!$Q:$Q,MATCH($D289,'02_能力差距自评'!$F:$F,0)),""))</f>
        <v/>
      </c>
      <c r="C289" s="8" t="str">
        <f>IF($D289="","",IFERROR(INDEX('02_能力差距自评'!$R:$R,MATCH($D289,'02_能力差距自评'!$F:$F,0)),""))</f>
        <v/>
      </c>
      <c r="D289" s="8" t="str">
        <f>IFERROR(INDEX('02_能力差距自评'!$F$2:$F$311,MATCH(ROWS($D$2:D289),'02_能力差距自评'!$W$2:$W$311,0)),"")</f>
        <v/>
      </c>
      <c r="E289" s="8" t="str">
        <f>IF($D289="","",INDEX('02_能力差距自评'!$G:$G,MATCH($D289,'02_能力差距自评'!$F:$F,0)))</f>
        <v/>
      </c>
      <c r="F289" s="8" t="str">
        <f>IF($D289="","",INDEX('02_能力差距自评'!$C:$C,MATCH($D289,'02_能力差距自评'!$F:$F,0)))</f>
        <v/>
      </c>
      <c r="G289" s="8" t="str">
        <f>IF($D289="","",INDEX('02_能力差距自评'!$E:$E,MATCH($D289,'02_能力差距自评'!$F:$F,0)))</f>
        <v/>
      </c>
      <c r="H289" s="8" t="str">
        <f>IF($D289="","",INDEX('02_能力差距自评'!$L:$L,MATCH($D289,'02_能力差距自评'!$F:$F,0)))</f>
        <v/>
      </c>
      <c r="I289" s="8" t="str">
        <f>IF($D289="","",INDEX('02_能力差距自评'!$M:$M,MATCH($D289,'02_能力差距自评'!$F:$F,0)))</f>
        <v/>
      </c>
      <c r="J289" s="8" t="str">
        <f>IF($D289="","",INDEX('02_能力差距自评'!$N:$N,MATCH($D289,'02_能力差距自评'!$F:$F,0)))</f>
        <v/>
      </c>
      <c r="K289" s="8" t="str">
        <f>IF($D289="","",INDEX('02_能力差距自评'!$O:$O,MATCH($D289,'02_能力差距自评'!$F:$F,0)))</f>
        <v/>
      </c>
      <c r="L289" s="8" t="str">
        <f>IF($D289="","",INDEX('02_能力差距自评'!$I:$I,MATCH($D289,'02_能力差距自评'!$F:$F,0)))</f>
        <v/>
      </c>
      <c r="M289" s="8" t="str">
        <f t="shared" si="8"/>
        <v/>
      </c>
      <c r="N289" s="8" t="str">
        <f>IF($D289="","",INDEX('02_能力差距自评'!$J:$J,MATCH($D289,'02_能力差距自评'!$F:$F,0)))</f>
        <v/>
      </c>
      <c r="O289" s="8" t="str">
        <f>IF($D289="","",INDEX('02_能力差距自评'!$K:$K,MATCH($D289,'02_能力差距自评'!$F:$F,0)))</f>
        <v/>
      </c>
      <c r="P289" s="8"/>
      <c r="Q289" s="8"/>
      <c r="R289" s="8"/>
      <c r="S289" s="8" t="str">
        <f t="shared" si="9"/>
        <v/>
      </c>
      <c r="T289" s="8"/>
      <c r="U289" s="8"/>
      <c r="V289" s="8"/>
    </row>
    <row r="290" spans="1:22">
      <c r="A290" s="8" t="str">
        <f>IF($D290="","","LP"&amp;TEXT(ROWS($A$2:A290),"000"))</f>
        <v/>
      </c>
      <c r="B290" s="8" t="str">
        <f>IF($D290="","",IFERROR(INDEX('02_能力差距自评'!$Q:$Q,MATCH($D290,'02_能力差距自评'!$F:$F,0)),""))</f>
        <v/>
      </c>
      <c r="C290" s="8" t="str">
        <f>IF($D290="","",IFERROR(INDEX('02_能力差距自评'!$R:$R,MATCH($D290,'02_能力差距自评'!$F:$F,0)),""))</f>
        <v/>
      </c>
      <c r="D290" s="8" t="str">
        <f>IFERROR(INDEX('02_能力差距自评'!$F$2:$F$311,MATCH(ROWS($D$2:D290),'02_能力差距自评'!$W$2:$W$311,0)),"")</f>
        <v/>
      </c>
      <c r="E290" s="8" t="str">
        <f>IF($D290="","",INDEX('02_能力差距自评'!$G:$G,MATCH($D290,'02_能力差距自评'!$F:$F,0)))</f>
        <v/>
      </c>
      <c r="F290" s="8" t="str">
        <f>IF($D290="","",INDEX('02_能力差距自评'!$C:$C,MATCH($D290,'02_能力差距自评'!$F:$F,0)))</f>
        <v/>
      </c>
      <c r="G290" s="8" t="str">
        <f>IF($D290="","",INDEX('02_能力差距自评'!$E:$E,MATCH($D290,'02_能力差距自评'!$F:$F,0)))</f>
        <v/>
      </c>
      <c r="H290" s="8" t="str">
        <f>IF($D290="","",INDEX('02_能力差距自评'!$L:$L,MATCH($D290,'02_能力差距自评'!$F:$F,0)))</f>
        <v/>
      </c>
      <c r="I290" s="8" t="str">
        <f>IF($D290="","",INDEX('02_能力差距自评'!$M:$M,MATCH($D290,'02_能力差距自评'!$F:$F,0)))</f>
        <v/>
      </c>
      <c r="J290" s="8" t="str">
        <f>IF($D290="","",INDEX('02_能力差距自评'!$N:$N,MATCH($D290,'02_能力差距自评'!$F:$F,0)))</f>
        <v/>
      </c>
      <c r="K290" s="8" t="str">
        <f>IF($D290="","",INDEX('02_能力差距自评'!$O:$O,MATCH($D290,'02_能力差距自评'!$F:$F,0)))</f>
        <v/>
      </c>
      <c r="L290" s="8" t="str">
        <f>IF($D290="","",INDEX('02_能力差距自评'!$I:$I,MATCH($D290,'02_能力差距自评'!$F:$F,0)))</f>
        <v/>
      </c>
      <c r="M290" s="8" t="str">
        <f t="shared" si="8"/>
        <v/>
      </c>
      <c r="N290" s="8" t="str">
        <f>IF($D290="","",INDEX('02_能力差距自评'!$J:$J,MATCH($D290,'02_能力差距自评'!$F:$F,0)))</f>
        <v/>
      </c>
      <c r="O290" s="8" t="str">
        <f>IF($D290="","",INDEX('02_能力差距自评'!$K:$K,MATCH($D290,'02_能力差距自评'!$F:$F,0)))</f>
        <v/>
      </c>
      <c r="P290" s="8"/>
      <c r="Q290" s="8"/>
      <c r="R290" s="8"/>
      <c r="S290" s="8" t="str">
        <f t="shared" si="9"/>
        <v/>
      </c>
      <c r="T290" s="8"/>
      <c r="U290" s="8"/>
      <c r="V290" s="8"/>
    </row>
    <row r="291" spans="1:22">
      <c r="A291" s="8" t="str">
        <f>IF($D291="","","LP"&amp;TEXT(ROWS($A$2:A291),"000"))</f>
        <v/>
      </c>
      <c r="B291" s="8" t="str">
        <f>IF($D291="","",IFERROR(INDEX('02_能力差距自评'!$Q:$Q,MATCH($D291,'02_能力差距自评'!$F:$F,0)),""))</f>
        <v/>
      </c>
      <c r="C291" s="8" t="str">
        <f>IF($D291="","",IFERROR(INDEX('02_能力差距自评'!$R:$R,MATCH($D291,'02_能力差距自评'!$F:$F,0)),""))</f>
        <v/>
      </c>
      <c r="D291" s="8" t="str">
        <f>IFERROR(INDEX('02_能力差距自评'!$F$2:$F$311,MATCH(ROWS($D$2:D291),'02_能力差距自评'!$W$2:$W$311,0)),"")</f>
        <v/>
      </c>
      <c r="E291" s="8" t="str">
        <f>IF($D291="","",INDEX('02_能力差距自评'!$G:$G,MATCH($D291,'02_能力差距自评'!$F:$F,0)))</f>
        <v/>
      </c>
      <c r="F291" s="8" t="str">
        <f>IF($D291="","",INDEX('02_能力差距自评'!$C:$C,MATCH($D291,'02_能力差距自评'!$F:$F,0)))</f>
        <v/>
      </c>
      <c r="G291" s="8" t="str">
        <f>IF($D291="","",INDEX('02_能力差距自评'!$E:$E,MATCH($D291,'02_能力差距自评'!$F:$F,0)))</f>
        <v/>
      </c>
      <c r="H291" s="8" t="str">
        <f>IF($D291="","",INDEX('02_能力差距自评'!$L:$L,MATCH($D291,'02_能力差距自评'!$F:$F,0)))</f>
        <v/>
      </c>
      <c r="I291" s="8" t="str">
        <f>IF($D291="","",INDEX('02_能力差距自评'!$M:$M,MATCH($D291,'02_能力差距自评'!$F:$F,0)))</f>
        <v/>
      </c>
      <c r="J291" s="8" t="str">
        <f>IF($D291="","",INDEX('02_能力差距自评'!$N:$N,MATCH($D291,'02_能力差距自评'!$F:$F,0)))</f>
        <v/>
      </c>
      <c r="K291" s="8" t="str">
        <f>IF($D291="","",INDEX('02_能力差距自评'!$O:$O,MATCH($D291,'02_能力差距自评'!$F:$F,0)))</f>
        <v/>
      </c>
      <c r="L291" s="8" t="str">
        <f>IF($D291="","",INDEX('02_能力差距自评'!$I:$I,MATCH($D291,'02_能力差距自评'!$F:$F,0)))</f>
        <v/>
      </c>
      <c r="M291" s="8" t="str">
        <f t="shared" si="8"/>
        <v/>
      </c>
      <c r="N291" s="8" t="str">
        <f>IF($D291="","",INDEX('02_能力差距自评'!$J:$J,MATCH($D291,'02_能力差距自评'!$F:$F,0)))</f>
        <v/>
      </c>
      <c r="O291" s="8" t="str">
        <f>IF($D291="","",INDEX('02_能力差距自评'!$K:$K,MATCH($D291,'02_能力差距自评'!$F:$F,0)))</f>
        <v/>
      </c>
      <c r="P291" s="8"/>
      <c r="Q291" s="8"/>
      <c r="R291" s="8"/>
      <c r="S291" s="8" t="str">
        <f t="shared" si="9"/>
        <v/>
      </c>
      <c r="T291" s="8"/>
      <c r="U291" s="8"/>
      <c r="V291" s="8"/>
    </row>
    <row r="292" spans="1:22">
      <c r="A292" s="8" t="str">
        <f>IF($D292="","","LP"&amp;TEXT(ROWS($A$2:A292),"000"))</f>
        <v/>
      </c>
      <c r="B292" s="8" t="str">
        <f>IF($D292="","",IFERROR(INDEX('02_能力差距自评'!$Q:$Q,MATCH($D292,'02_能力差距自评'!$F:$F,0)),""))</f>
        <v/>
      </c>
      <c r="C292" s="8" t="str">
        <f>IF($D292="","",IFERROR(INDEX('02_能力差距自评'!$R:$R,MATCH($D292,'02_能力差距自评'!$F:$F,0)),""))</f>
        <v/>
      </c>
      <c r="D292" s="8" t="str">
        <f>IFERROR(INDEX('02_能力差距自评'!$F$2:$F$311,MATCH(ROWS($D$2:D292),'02_能力差距自评'!$W$2:$W$311,0)),"")</f>
        <v/>
      </c>
      <c r="E292" s="8" t="str">
        <f>IF($D292="","",INDEX('02_能力差距自评'!$G:$G,MATCH($D292,'02_能力差距自评'!$F:$F,0)))</f>
        <v/>
      </c>
      <c r="F292" s="8" t="str">
        <f>IF($D292="","",INDEX('02_能力差距自评'!$C:$C,MATCH($D292,'02_能力差距自评'!$F:$F,0)))</f>
        <v/>
      </c>
      <c r="G292" s="8" t="str">
        <f>IF($D292="","",INDEX('02_能力差距自评'!$E:$E,MATCH($D292,'02_能力差距自评'!$F:$F,0)))</f>
        <v/>
      </c>
      <c r="H292" s="8" t="str">
        <f>IF($D292="","",INDEX('02_能力差距自评'!$L:$L,MATCH($D292,'02_能力差距自评'!$F:$F,0)))</f>
        <v/>
      </c>
      <c r="I292" s="8" t="str">
        <f>IF($D292="","",INDEX('02_能力差距自评'!$M:$M,MATCH($D292,'02_能力差距自评'!$F:$F,0)))</f>
        <v/>
      </c>
      <c r="J292" s="8" t="str">
        <f>IF($D292="","",INDEX('02_能力差距自评'!$N:$N,MATCH($D292,'02_能力差距自评'!$F:$F,0)))</f>
        <v/>
      </c>
      <c r="K292" s="8" t="str">
        <f>IF($D292="","",INDEX('02_能力差距自评'!$O:$O,MATCH($D292,'02_能力差距自评'!$F:$F,0)))</f>
        <v/>
      </c>
      <c r="L292" s="8" t="str">
        <f>IF($D292="","",INDEX('02_能力差距自评'!$I:$I,MATCH($D292,'02_能力差距自评'!$F:$F,0)))</f>
        <v/>
      </c>
      <c r="M292" s="8" t="str">
        <f t="shared" si="8"/>
        <v/>
      </c>
      <c r="N292" s="8" t="str">
        <f>IF($D292="","",INDEX('02_能力差距自评'!$J:$J,MATCH($D292,'02_能力差距自评'!$F:$F,0)))</f>
        <v/>
      </c>
      <c r="O292" s="8" t="str">
        <f>IF($D292="","",INDEX('02_能力差距自评'!$K:$K,MATCH($D292,'02_能力差距自评'!$F:$F,0)))</f>
        <v/>
      </c>
      <c r="P292" s="8"/>
      <c r="Q292" s="8"/>
      <c r="R292" s="8"/>
      <c r="S292" s="8" t="str">
        <f t="shared" si="9"/>
        <v/>
      </c>
      <c r="T292" s="8"/>
      <c r="U292" s="8"/>
      <c r="V292" s="8"/>
    </row>
    <row r="293" spans="1:22">
      <c r="A293" s="8" t="str">
        <f>IF($D293="","","LP"&amp;TEXT(ROWS($A$2:A293),"000"))</f>
        <v/>
      </c>
      <c r="B293" s="8" t="str">
        <f>IF($D293="","",IFERROR(INDEX('02_能力差距自评'!$Q:$Q,MATCH($D293,'02_能力差距自评'!$F:$F,0)),""))</f>
        <v/>
      </c>
      <c r="C293" s="8" t="str">
        <f>IF($D293="","",IFERROR(INDEX('02_能力差距自评'!$R:$R,MATCH($D293,'02_能力差距自评'!$F:$F,0)),""))</f>
        <v/>
      </c>
      <c r="D293" s="8" t="str">
        <f>IFERROR(INDEX('02_能力差距自评'!$F$2:$F$311,MATCH(ROWS($D$2:D293),'02_能力差距自评'!$W$2:$W$311,0)),"")</f>
        <v/>
      </c>
      <c r="E293" s="8" t="str">
        <f>IF($D293="","",INDEX('02_能力差距自评'!$G:$G,MATCH($D293,'02_能力差距自评'!$F:$F,0)))</f>
        <v/>
      </c>
      <c r="F293" s="8" t="str">
        <f>IF($D293="","",INDEX('02_能力差距自评'!$C:$C,MATCH($D293,'02_能力差距自评'!$F:$F,0)))</f>
        <v/>
      </c>
      <c r="G293" s="8" t="str">
        <f>IF($D293="","",INDEX('02_能力差距自评'!$E:$E,MATCH($D293,'02_能力差距自评'!$F:$F,0)))</f>
        <v/>
      </c>
      <c r="H293" s="8" t="str">
        <f>IF($D293="","",INDEX('02_能力差距自评'!$L:$L,MATCH($D293,'02_能力差距自评'!$F:$F,0)))</f>
        <v/>
      </c>
      <c r="I293" s="8" t="str">
        <f>IF($D293="","",INDEX('02_能力差距自评'!$M:$M,MATCH($D293,'02_能力差距自评'!$F:$F,0)))</f>
        <v/>
      </c>
      <c r="J293" s="8" t="str">
        <f>IF($D293="","",INDEX('02_能力差距自评'!$N:$N,MATCH($D293,'02_能力差距自评'!$F:$F,0)))</f>
        <v/>
      </c>
      <c r="K293" s="8" t="str">
        <f>IF($D293="","",INDEX('02_能力差距自评'!$O:$O,MATCH($D293,'02_能力差距自评'!$F:$F,0)))</f>
        <v/>
      </c>
      <c r="L293" s="8" t="str">
        <f>IF($D293="","",INDEX('02_能力差距自评'!$I:$I,MATCH($D293,'02_能力差距自评'!$F:$F,0)))</f>
        <v/>
      </c>
      <c r="M293" s="8" t="str">
        <f t="shared" si="8"/>
        <v/>
      </c>
      <c r="N293" s="8" t="str">
        <f>IF($D293="","",INDEX('02_能力差距自评'!$J:$J,MATCH($D293,'02_能力差距自评'!$F:$F,0)))</f>
        <v/>
      </c>
      <c r="O293" s="8" t="str">
        <f>IF($D293="","",INDEX('02_能力差距自评'!$K:$K,MATCH($D293,'02_能力差距自评'!$F:$F,0)))</f>
        <v/>
      </c>
      <c r="P293" s="8"/>
      <c r="Q293" s="8"/>
      <c r="R293" s="8"/>
      <c r="S293" s="8" t="str">
        <f t="shared" si="9"/>
        <v/>
      </c>
      <c r="T293" s="8"/>
      <c r="U293" s="8"/>
      <c r="V293" s="8"/>
    </row>
    <row r="294" spans="1:22">
      <c r="A294" s="8" t="str">
        <f>IF($D294="","","LP"&amp;TEXT(ROWS($A$2:A294),"000"))</f>
        <v/>
      </c>
      <c r="B294" s="8" t="str">
        <f>IF($D294="","",IFERROR(INDEX('02_能力差距自评'!$Q:$Q,MATCH($D294,'02_能力差距自评'!$F:$F,0)),""))</f>
        <v/>
      </c>
      <c r="C294" s="8" t="str">
        <f>IF($D294="","",IFERROR(INDEX('02_能力差距自评'!$R:$R,MATCH($D294,'02_能力差距自评'!$F:$F,0)),""))</f>
        <v/>
      </c>
      <c r="D294" s="8" t="str">
        <f>IFERROR(INDEX('02_能力差距自评'!$F$2:$F$311,MATCH(ROWS($D$2:D294),'02_能力差距自评'!$W$2:$W$311,0)),"")</f>
        <v/>
      </c>
      <c r="E294" s="8" t="str">
        <f>IF($D294="","",INDEX('02_能力差距自评'!$G:$G,MATCH($D294,'02_能力差距自评'!$F:$F,0)))</f>
        <v/>
      </c>
      <c r="F294" s="8" t="str">
        <f>IF($D294="","",INDEX('02_能力差距自评'!$C:$C,MATCH($D294,'02_能力差距自评'!$F:$F,0)))</f>
        <v/>
      </c>
      <c r="G294" s="8" t="str">
        <f>IF($D294="","",INDEX('02_能力差距自评'!$E:$E,MATCH($D294,'02_能力差距自评'!$F:$F,0)))</f>
        <v/>
      </c>
      <c r="H294" s="8" t="str">
        <f>IF($D294="","",INDEX('02_能力差距自评'!$L:$L,MATCH($D294,'02_能力差距自评'!$F:$F,0)))</f>
        <v/>
      </c>
      <c r="I294" s="8" t="str">
        <f>IF($D294="","",INDEX('02_能力差距自评'!$M:$M,MATCH($D294,'02_能力差距自评'!$F:$F,0)))</f>
        <v/>
      </c>
      <c r="J294" s="8" t="str">
        <f>IF($D294="","",INDEX('02_能力差距自评'!$N:$N,MATCH($D294,'02_能力差距自评'!$F:$F,0)))</f>
        <v/>
      </c>
      <c r="K294" s="8" t="str">
        <f>IF($D294="","",INDEX('02_能力差距自评'!$O:$O,MATCH($D294,'02_能力差距自评'!$F:$F,0)))</f>
        <v/>
      </c>
      <c r="L294" s="8" t="str">
        <f>IF($D294="","",INDEX('02_能力差距自评'!$I:$I,MATCH($D294,'02_能力差距自评'!$F:$F,0)))</f>
        <v/>
      </c>
      <c r="M294" s="8" t="str">
        <f t="shared" si="8"/>
        <v/>
      </c>
      <c r="N294" s="8" t="str">
        <f>IF($D294="","",INDEX('02_能力差距自评'!$J:$J,MATCH($D294,'02_能力差距自评'!$F:$F,0)))</f>
        <v/>
      </c>
      <c r="O294" s="8" t="str">
        <f>IF($D294="","",INDEX('02_能力差距自评'!$K:$K,MATCH($D294,'02_能力差距自评'!$F:$F,0)))</f>
        <v/>
      </c>
      <c r="P294" s="8"/>
      <c r="Q294" s="8"/>
      <c r="R294" s="8"/>
      <c r="S294" s="8" t="str">
        <f t="shared" si="9"/>
        <v/>
      </c>
      <c r="T294" s="8"/>
      <c r="U294" s="8"/>
      <c r="V294" s="8"/>
    </row>
    <row r="295" spans="1:22">
      <c r="A295" s="8" t="str">
        <f>IF($D295="","","LP"&amp;TEXT(ROWS($A$2:A295),"000"))</f>
        <v/>
      </c>
      <c r="B295" s="8" t="str">
        <f>IF($D295="","",IFERROR(INDEX('02_能力差距自评'!$Q:$Q,MATCH($D295,'02_能力差距自评'!$F:$F,0)),""))</f>
        <v/>
      </c>
      <c r="C295" s="8" t="str">
        <f>IF($D295="","",IFERROR(INDEX('02_能力差距自评'!$R:$R,MATCH($D295,'02_能力差距自评'!$F:$F,0)),""))</f>
        <v/>
      </c>
      <c r="D295" s="8" t="str">
        <f>IFERROR(INDEX('02_能力差距自评'!$F$2:$F$311,MATCH(ROWS($D$2:D295),'02_能力差距自评'!$W$2:$W$311,0)),"")</f>
        <v/>
      </c>
      <c r="E295" s="8" t="str">
        <f>IF($D295="","",INDEX('02_能力差距自评'!$G:$G,MATCH($D295,'02_能力差距自评'!$F:$F,0)))</f>
        <v/>
      </c>
      <c r="F295" s="8" t="str">
        <f>IF($D295="","",INDEX('02_能力差距自评'!$C:$C,MATCH($D295,'02_能力差距自评'!$F:$F,0)))</f>
        <v/>
      </c>
      <c r="G295" s="8" t="str">
        <f>IF($D295="","",INDEX('02_能力差距自评'!$E:$E,MATCH($D295,'02_能力差距自评'!$F:$F,0)))</f>
        <v/>
      </c>
      <c r="H295" s="8" t="str">
        <f>IF($D295="","",INDEX('02_能力差距自评'!$L:$L,MATCH($D295,'02_能力差距自评'!$F:$F,0)))</f>
        <v/>
      </c>
      <c r="I295" s="8" t="str">
        <f>IF($D295="","",INDEX('02_能力差距自评'!$M:$M,MATCH($D295,'02_能力差距自评'!$F:$F,0)))</f>
        <v/>
      </c>
      <c r="J295" s="8" t="str">
        <f>IF($D295="","",INDEX('02_能力差距自评'!$N:$N,MATCH($D295,'02_能力差距自评'!$F:$F,0)))</f>
        <v/>
      </c>
      <c r="K295" s="8" t="str">
        <f>IF($D295="","",INDEX('02_能力差距自评'!$O:$O,MATCH($D295,'02_能力差距自评'!$F:$F,0)))</f>
        <v/>
      </c>
      <c r="L295" s="8" t="str">
        <f>IF($D295="","",INDEX('02_能力差距自评'!$I:$I,MATCH($D295,'02_能力差距自评'!$F:$F,0)))</f>
        <v/>
      </c>
      <c r="M295" s="8" t="str">
        <f t="shared" si="8"/>
        <v/>
      </c>
      <c r="N295" s="8" t="str">
        <f>IF($D295="","",INDEX('02_能力差距自评'!$J:$J,MATCH($D295,'02_能力差距自评'!$F:$F,0)))</f>
        <v/>
      </c>
      <c r="O295" s="8" t="str">
        <f>IF($D295="","",INDEX('02_能力差距自评'!$K:$K,MATCH($D295,'02_能力差距自评'!$F:$F,0)))</f>
        <v/>
      </c>
      <c r="P295" s="8"/>
      <c r="Q295" s="8"/>
      <c r="R295" s="8"/>
      <c r="S295" s="8" t="str">
        <f t="shared" si="9"/>
        <v/>
      </c>
      <c r="T295" s="8"/>
      <c r="U295" s="8"/>
      <c r="V295" s="8"/>
    </row>
    <row r="296" spans="1:22">
      <c r="A296" s="8" t="str">
        <f>IF($D296="","","LP"&amp;TEXT(ROWS($A$2:A296),"000"))</f>
        <v/>
      </c>
      <c r="B296" s="8" t="str">
        <f>IF($D296="","",IFERROR(INDEX('02_能力差距自评'!$Q:$Q,MATCH($D296,'02_能力差距自评'!$F:$F,0)),""))</f>
        <v/>
      </c>
      <c r="C296" s="8" t="str">
        <f>IF($D296="","",IFERROR(INDEX('02_能力差距自评'!$R:$R,MATCH($D296,'02_能力差距自评'!$F:$F,0)),""))</f>
        <v/>
      </c>
      <c r="D296" s="8" t="str">
        <f>IFERROR(INDEX('02_能力差距自评'!$F$2:$F$311,MATCH(ROWS($D$2:D296),'02_能力差距自评'!$W$2:$W$311,0)),"")</f>
        <v/>
      </c>
      <c r="E296" s="8" t="str">
        <f>IF($D296="","",INDEX('02_能力差距自评'!$G:$G,MATCH($D296,'02_能力差距自评'!$F:$F,0)))</f>
        <v/>
      </c>
      <c r="F296" s="8" t="str">
        <f>IF($D296="","",INDEX('02_能力差距自评'!$C:$C,MATCH($D296,'02_能力差距自评'!$F:$F,0)))</f>
        <v/>
      </c>
      <c r="G296" s="8" t="str">
        <f>IF($D296="","",INDEX('02_能力差距自评'!$E:$E,MATCH($D296,'02_能力差距自评'!$F:$F,0)))</f>
        <v/>
      </c>
      <c r="H296" s="8" t="str">
        <f>IF($D296="","",INDEX('02_能力差距自评'!$L:$L,MATCH($D296,'02_能力差距自评'!$F:$F,0)))</f>
        <v/>
      </c>
      <c r="I296" s="8" t="str">
        <f>IF($D296="","",INDEX('02_能力差距自评'!$M:$M,MATCH($D296,'02_能力差距自评'!$F:$F,0)))</f>
        <v/>
      </c>
      <c r="J296" s="8" t="str">
        <f>IF($D296="","",INDEX('02_能力差距自评'!$N:$N,MATCH($D296,'02_能力差距自评'!$F:$F,0)))</f>
        <v/>
      </c>
      <c r="K296" s="8" t="str">
        <f>IF($D296="","",INDEX('02_能力差距自评'!$O:$O,MATCH($D296,'02_能力差距自评'!$F:$F,0)))</f>
        <v/>
      </c>
      <c r="L296" s="8" t="str">
        <f>IF($D296="","",INDEX('02_能力差距自评'!$I:$I,MATCH($D296,'02_能力差距自评'!$F:$F,0)))</f>
        <v/>
      </c>
      <c r="M296" s="8" t="str">
        <f t="shared" si="8"/>
        <v/>
      </c>
      <c r="N296" s="8" t="str">
        <f>IF($D296="","",INDEX('02_能力差距自评'!$J:$J,MATCH($D296,'02_能力差距自评'!$F:$F,0)))</f>
        <v/>
      </c>
      <c r="O296" s="8" t="str">
        <f>IF($D296="","",INDEX('02_能力差距自评'!$K:$K,MATCH($D296,'02_能力差距自评'!$F:$F,0)))</f>
        <v/>
      </c>
      <c r="P296" s="8"/>
      <c r="Q296" s="8"/>
      <c r="R296" s="8"/>
      <c r="S296" s="8" t="str">
        <f t="shared" si="9"/>
        <v/>
      </c>
      <c r="T296" s="8"/>
      <c r="U296" s="8"/>
      <c r="V296" s="8"/>
    </row>
    <row r="297" spans="1:22">
      <c r="A297" s="8" t="str">
        <f>IF($D297="","","LP"&amp;TEXT(ROWS($A$2:A297),"000"))</f>
        <v/>
      </c>
      <c r="B297" s="8" t="str">
        <f>IF($D297="","",IFERROR(INDEX('02_能力差距自评'!$Q:$Q,MATCH($D297,'02_能力差距自评'!$F:$F,0)),""))</f>
        <v/>
      </c>
      <c r="C297" s="8" t="str">
        <f>IF($D297="","",IFERROR(INDEX('02_能力差距自评'!$R:$R,MATCH($D297,'02_能力差距自评'!$F:$F,0)),""))</f>
        <v/>
      </c>
      <c r="D297" s="8" t="str">
        <f>IFERROR(INDEX('02_能力差距自评'!$F$2:$F$311,MATCH(ROWS($D$2:D297),'02_能力差距自评'!$W$2:$W$311,0)),"")</f>
        <v/>
      </c>
      <c r="E297" s="8" t="str">
        <f>IF($D297="","",INDEX('02_能力差距自评'!$G:$G,MATCH($D297,'02_能力差距自评'!$F:$F,0)))</f>
        <v/>
      </c>
      <c r="F297" s="8" t="str">
        <f>IF($D297="","",INDEX('02_能力差距自评'!$C:$C,MATCH($D297,'02_能力差距自评'!$F:$F,0)))</f>
        <v/>
      </c>
      <c r="G297" s="8" t="str">
        <f>IF($D297="","",INDEX('02_能力差距自评'!$E:$E,MATCH($D297,'02_能力差距自评'!$F:$F,0)))</f>
        <v/>
      </c>
      <c r="H297" s="8" t="str">
        <f>IF($D297="","",INDEX('02_能力差距自评'!$L:$L,MATCH($D297,'02_能力差距自评'!$F:$F,0)))</f>
        <v/>
      </c>
      <c r="I297" s="8" t="str">
        <f>IF($D297="","",INDEX('02_能力差距自评'!$M:$M,MATCH($D297,'02_能力差距自评'!$F:$F,0)))</f>
        <v/>
      </c>
      <c r="J297" s="8" t="str">
        <f>IF($D297="","",INDEX('02_能力差距自评'!$N:$N,MATCH($D297,'02_能力差距自评'!$F:$F,0)))</f>
        <v/>
      </c>
      <c r="K297" s="8" t="str">
        <f>IF($D297="","",INDEX('02_能力差距自评'!$O:$O,MATCH($D297,'02_能力差距自评'!$F:$F,0)))</f>
        <v/>
      </c>
      <c r="L297" s="8" t="str">
        <f>IF($D297="","",INDEX('02_能力差距自评'!$I:$I,MATCH($D297,'02_能力差距自评'!$F:$F,0)))</f>
        <v/>
      </c>
      <c r="M297" s="8" t="str">
        <f t="shared" si="8"/>
        <v/>
      </c>
      <c r="N297" s="8" t="str">
        <f>IF($D297="","",INDEX('02_能力差距自评'!$J:$J,MATCH($D297,'02_能力差距自评'!$F:$F,0)))</f>
        <v/>
      </c>
      <c r="O297" s="8" t="str">
        <f>IF($D297="","",INDEX('02_能力差距自评'!$K:$K,MATCH($D297,'02_能力差距自评'!$F:$F,0)))</f>
        <v/>
      </c>
      <c r="P297" s="8"/>
      <c r="Q297" s="8"/>
      <c r="R297" s="8"/>
      <c r="S297" s="8" t="str">
        <f t="shared" si="9"/>
        <v/>
      </c>
      <c r="T297" s="8"/>
      <c r="U297" s="8"/>
      <c r="V297" s="8"/>
    </row>
    <row r="298" spans="1:22">
      <c r="A298" s="8" t="str">
        <f>IF($D298="","","LP"&amp;TEXT(ROWS($A$2:A298),"000"))</f>
        <v/>
      </c>
      <c r="B298" s="8" t="str">
        <f>IF($D298="","",IFERROR(INDEX('02_能力差距自评'!$Q:$Q,MATCH($D298,'02_能力差距自评'!$F:$F,0)),""))</f>
        <v/>
      </c>
      <c r="C298" s="8" t="str">
        <f>IF($D298="","",IFERROR(INDEX('02_能力差距自评'!$R:$R,MATCH($D298,'02_能力差距自评'!$F:$F,0)),""))</f>
        <v/>
      </c>
      <c r="D298" s="8" t="str">
        <f>IFERROR(INDEX('02_能力差距自评'!$F$2:$F$311,MATCH(ROWS($D$2:D298),'02_能力差距自评'!$W$2:$W$311,0)),"")</f>
        <v/>
      </c>
      <c r="E298" s="8" t="str">
        <f>IF($D298="","",INDEX('02_能力差距自评'!$G:$G,MATCH($D298,'02_能力差距自评'!$F:$F,0)))</f>
        <v/>
      </c>
      <c r="F298" s="8" t="str">
        <f>IF($D298="","",INDEX('02_能力差距自评'!$C:$C,MATCH($D298,'02_能力差距自评'!$F:$F,0)))</f>
        <v/>
      </c>
      <c r="G298" s="8" t="str">
        <f>IF($D298="","",INDEX('02_能力差距自评'!$E:$E,MATCH($D298,'02_能力差距自评'!$F:$F,0)))</f>
        <v/>
      </c>
      <c r="H298" s="8" t="str">
        <f>IF($D298="","",INDEX('02_能力差距自评'!$L:$L,MATCH($D298,'02_能力差距自评'!$F:$F,0)))</f>
        <v/>
      </c>
      <c r="I298" s="8" t="str">
        <f>IF($D298="","",INDEX('02_能力差距自评'!$M:$M,MATCH($D298,'02_能力差距自评'!$F:$F,0)))</f>
        <v/>
      </c>
      <c r="J298" s="8" t="str">
        <f>IF($D298="","",INDEX('02_能力差距自评'!$N:$N,MATCH($D298,'02_能力差距自评'!$F:$F,0)))</f>
        <v/>
      </c>
      <c r="K298" s="8" t="str">
        <f>IF($D298="","",INDEX('02_能力差距自评'!$O:$O,MATCH($D298,'02_能力差距自评'!$F:$F,0)))</f>
        <v/>
      </c>
      <c r="L298" s="8" t="str">
        <f>IF($D298="","",INDEX('02_能力差距自评'!$I:$I,MATCH($D298,'02_能力差距自评'!$F:$F,0)))</f>
        <v/>
      </c>
      <c r="M298" s="8" t="str">
        <f t="shared" si="8"/>
        <v/>
      </c>
      <c r="N298" s="8" t="str">
        <f>IF($D298="","",INDEX('02_能力差距自评'!$J:$J,MATCH($D298,'02_能力差距自评'!$F:$F,0)))</f>
        <v/>
      </c>
      <c r="O298" s="8" t="str">
        <f>IF($D298="","",INDEX('02_能力差距自评'!$K:$K,MATCH($D298,'02_能力差距自评'!$F:$F,0)))</f>
        <v/>
      </c>
      <c r="P298" s="8"/>
      <c r="Q298" s="8"/>
      <c r="R298" s="8"/>
      <c r="S298" s="8" t="str">
        <f t="shared" si="9"/>
        <v/>
      </c>
      <c r="T298" s="8"/>
      <c r="U298" s="8"/>
      <c r="V298" s="8"/>
    </row>
    <row r="299" spans="1:22">
      <c r="A299" s="8" t="str">
        <f>IF($D299="","","LP"&amp;TEXT(ROWS($A$2:A299),"000"))</f>
        <v/>
      </c>
      <c r="B299" s="8" t="str">
        <f>IF($D299="","",IFERROR(INDEX('02_能力差距自评'!$Q:$Q,MATCH($D299,'02_能力差距自评'!$F:$F,0)),""))</f>
        <v/>
      </c>
      <c r="C299" s="8" t="str">
        <f>IF($D299="","",IFERROR(INDEX('02_能力差距自评'!$R:$R,MATCH($D299,'02_能力差距自评'!$F:$F,0)),""))</f>
        <v/>
      </c>
      <c r="D299" s="8" t="str">
        <f>IFERROR(INDEX('02_能力差距自评'!$F$2:$F$311,MATCH(ROWS($D$2:D299),'02_能力差距自评'!$W$2:$W$311,0)),"")</f>
        <v/>
      </c>
      <c r="E299" s="8" t="str">
        <f>IF($D299="","",INDEX('02_能力差距自评'!$G:$G,MATCH($D299,'02_能力差距自评'!$F:$F,0)))</f>
        <v/>
      </c>
      <c r="F299" s="8" t="str">
        <f>IF($D299="","",INDEX('02_能力差距自评'!$C:$C,MATCH($D299,'02_能力差距自评'!$F:$F,0)))</f>
        <v/>
      </c>
      <c r="G299" s="8" t="str">
        <f>IF($D299="","",INDEX('02_能力差距自评'!$E:$E,MATCH($D299,'02_能力差距自评'!$F:$F,0)))</f>
        <v/>
      </c>
      <c r="H299" s="8" t="str">
        <f>IF($D299="","",INDEX('02_能力差距自评'!$L:$L,MATCH($D299,'02_能力差距自评'!$F:$F,0)))</f>
        <v/>
      </c>
      <c r="I299" s="8" t="str">
        <f>IF($D299="","",INDEX('02_能力差距自评'!$M:$M,MATCH($D299,'02_能力差距自评'!$F:$F,0)))</f>
        <v/>
      </c>
      <c r="J299" s="8" t="str">
        <f>IF($D299="","",INDEX('02_能力差距自评'!$N:$N,MATCH($D299,'02_能力差距自评'!$F:$F,0)))</f>
        <v/>
      </c>
      <c r="K299" s="8" t="str">
        <f>IF($D299="","",INDEX('02_能力差距自评'!$O:$O,MATCH($D299,'02_能力差距自评'!$F:$F,0)))</f>
        <v/>
      </c>
      <c r="L299" s="8" t="str">
        <f>IF($D299="","",INDEX('02_能力差距自评'!$I:$I,MATCH($D299,'02_能力差距自评'!$F:$F,0)))</f>
        <v/>
      </c>
      <c r="M299" s="8" t="str">
        <f t="shared" si="8"/>
        <v/>
      </c>
      <c r="N299" s="8" t="str">
        <f>IF($D299="","",INDEX('02_能力差距自评'!$J:$J,MATCH($D299,'02_能力差距自评'!$F:$F,0)))</f>
        <v/>
      </c>
      <c r="O299" s="8" t="str">
        <f>IF($D299="","",INDEX('02_能力差距自评'!$K:$K,MATCH($D299,'02_能力差距自评'!$F:$F,0)))</f>
        <v/>
      </c>
      <c r="P299" s="8"/>
      <c r="Q299" s="8"/>
      <c r="R299" s="8"/>
      <c r="S299" s="8" t="str">
        <f t="shared" si="9"/>
        <v/>
      </c>
      <c r="T299" s="8"/>
      <c r="U299" s="8"/>
      <c r="V299" s="8"/>
    </row>
    <row r="300" spans="1:22">
      <c r="A300" s="8" t="str">
        <f>IF($D300="","","LP"&amp;TEXT(ROWS($A$2:A300),"000"))</f>
        <v/>
      </c>
      <c r="B300" s="8" t="str">
        <f>IF($D300="","",IFERROR(INDEX('02_能力差距自评'!$Q:$Q,MATCH($D300,'02_能力差距自评'!$F:$F,0)),""))</f>
        <v/>
      </c>
      <c r="C300" s="8" t="str">
        <f>IF($D300="","",IFERROR(INDEX('02_能力差距自评'!$R:$R,MATCH($D300,'02_能力差距自评'!$F:$F,0)),""))</f>
        <v/>
      </c>
      <c r="D300" s="8" t="str">
        <f>IFERROR(INDEX('02_能力差距自评'!$F$2:$F$311,MATCH(ROWS($D$2:D300),'02_能力差距自评'!$W$2:$W$311,0)),"")</f>
        <v/>
      </c>
      <c r="E300" s="8" t="str">
        <f>IF($D300="","",INDEX('02_能力差距自评'!$G:$G,MATCH($D300,'02_能力差距自评'!$F:$F,0)))</f>
        <v/>
      </c>
      <c r="F300" s="8" t="str">
        <f>IF($D300="","",INDEX('02_能力差距自评'!$C:$C,MATCH($D300,'02_能力差距自评'!$F:$F,0)))</f>
        <v/>
      </c>
      <c r="G300" s="8" t="str">
        <f>IF($D300="","",INDEX('02_能力差距自评'!$E:$E,MATCH($D300,'02_能力差距自评'!$F:$F,0)))</f>
        <v/>
      </c>
      <c r="H300" s="8" t="str">
        <f>IF($D300="","",INDEX('02_能力差距自评'!$L:$L,MATCH($D300,'02_能力差距自评'!$F:$F,0)))</f>
        <v/>
      </c>
      <c r="I300" s="8" t="str">
        <f>IF($D300="","",INDEX('02_能力差距自评'!$M:$M,MATCH($D300,'02_能力差距自评'!$F:$F,0)))</f>
        <v/>
      </c>
      <c r="J300" s="8" t="str">
        <f>IF($D300="","",INDEX('02_能力差距自评'!$N:$N,MATCH($D300,'02_能力差距自评'!$F:$F,0)))</f>
        <v/>
      </c>
      <c r="K300" s="8" t="str">
        <f>IF($D300="","",INDEX('02_能力差距自评'!$O:$O,MATCH($D300,'02_能力差距自评'!$F:$F,0)))</f>
        <v/>
      </c>
      <c r="L300" s="8" t="str">
        <f>IF($D300="","",INDEX('02_能力差距自评'!$I:$I,MATCH($D300,'02_能力差距自评'!$F:$F,0)))</f>
        <v/>
      </c>
      <c r="M300" s="8" t="str">
        <f t="shared" si="8"/>
        <v/>
      </c>
      <c r="N300" s="8" t="str">
        <f>IF($D300="","",INDEX('02_能力差距自评'!$J:$J,MATCH($D300,'02_能力差距自评'!$F:$F,0)))</f>
        <v/>
      </c>
      <c r="O300" s="8" t="str">
        <f>IF($D300="","",INDEX('02_能力差距自评'!$K:$K,MATCH($D300,'02_能力差距自评'!$F:$F,0)))</f>
        <v/>
      </c>
      <c r="P300" s="8"/>
      <c r="Q300" s="8"/>
      <c r="R300" s="8"/>
      <c r="S300" s="8" t="str">
        <f t="shared" si="9"/>
        <v/>
      </c>
      <c r="T300" s="8"/>
      <c r="U300" s="8"/>
      <c r="V300" s="8"/>
    </row>
    <row r="301" spans="1:22">
      <c r="A301" s="8" t="str">
        <f>IF($D301="","","LP"&amp;TEXT(ROWS($A$2:A301),"000"))</f>
        <v/>
      </c>
      <c r="B301" s="8" t="str">
        <f>IF($D301="","",IFERROR(INDEX('02_能力差距自评'!$Q:$Q,MATCH($D301,'02_能力差距自评'!$F:$F,0)),""))</f>
        <v/>
      </c>
      <c r="C301" s="8" t="str">
        <f>IF($D301="","",IFERROR(INDEX('02_能力差距自评'!$R:$R,MATCH($D301,'02_能力差距自评'!$F:$F,0)),""))</f>
        <v/>
      </c>
      <c r="D301" s="8" t="str">
        <f>IFERROR(INDEX('02_能力差距自评'!$F$2:$F$311,MATCH(ROWS($D$2:D301),'02_能力差距自评'!$W$2:$W$311,0)),"")</f>
        <v/>
      </c>
      <c r="E301" s="8" t="str">
        <f>IF($D301="","",INDEX('02_能力差距自评'!$G:$G,MATCH($D301,'02_能力差距自评'!$F:$F,0)))</f>
        <v/>
      </c>
      <c r="F301" s="8" t="str">
        <f>IF($D301="","",INDEX('02_能力差距自评'!$C:$C,MATCH($D301,'02_能力差距自评'!$F:$F,0)))</f>
        <v/>
      </c>
      <c r="G301" s="8" t="str">
        <f>IF($D301="","",INDEX('02_能力差距自评'!$E:$E,MATCH($D301,'02_能力差距自评'!$F:$F,0)))</f>
        <v/>
      </c>
      <c r="H301" s="8" t="str">
        <f>IF($D301="","",INDEX('02_能力差距自评'!$L:$L,MATCH($D301,'02_能力差距自评'!$F:$F,0)))</f>
        <v/>
      </c>
      <c r="I301" s="8" t="str">
        <f>IF($D301="","",INDEX('02_能力差距自评'!$M:$M,MATCH($D301,'02_能力差距自评'!$F:$F,0)))</f>
        <v/>
      </c>
      <c r="J301" s="8" t="str">
        <f>IF($D301="","",INDEX('02_能力差距自评'!$N:$N,MATCH($D301,'02_能力差距自评'!$F:$F,0)))</f>
        <v/>
      </c>
      <c r="K301" s="8" t="str">
        <f>IF($D301="","",INDEX('02_能力差距自评'!$O:$O,MATCH($D301,'02_能力差距自评'!$F:$F,0)))</f>
        <v/>
      </c>
      <c r="L301" s="8" t="str">
        <f>IF($D301="","",INDEX('02_能力差距自评'!$I:$I,MATCH($D301,'02_能力差距自评'!$F:$F,0)))</f>
        <v/>
      </c>
      <c r="M301" s="8" t="str">
        <f t="shared" si="8"/>
        <v/>
      </c>
      <c r="N301" s="8" t="str">
        <f>IF($D301="","",INDEX('02_能力差距自评'!$J:$J,MATCH($D301,'02_能力差距自评'!$F:$F,0)))</f>
        <v/>
      </c>
      <c r="O301" s="8" t="str">
        <f>IF($D301="","",INDEX('02_能力差距自评'!$K:$K,MATCH($D301,'02_能力差距自评'!$F:$F,0)))</f>
        <v/>
      </c>
      <c r="P301" s="8"/>
      <c r="Q301" s="8"/>
      <c r="R301" s="8"/>
      <c r="S301" s="8" t="str">
        <f t="shared" si="9"/>
        <v/>
      </c>
      <c r="T301" s="8"/>
      <c r="U301" s="8"/>
      <c r="V301" s="8"/>
    </row>
    <row r="302" spans="1:22">
      <c r="A302" s="8" t="str">
        <f>IF($D302="","","LP"&amp;TEXT(ROWS($A$2:A302),"000"))</f>
        <v/>
      </c>
      <c r="B302" s="8" t="str">
        <f>IF($D302="","",IFERROR(INDEX('02_能力差距自评'!$Q:$Q,MATCH($D302,'02_能力差距自评'!$F:$F,0)),""))</f>
        <v/>
      </c>
      <c r="C302" s="8" t="str">
        <f>IF($D302="","",IFERROR(INDEX('02_能力差距自评'!$R:$R,MATCH($D302,'02_能力差距自评'!$F:$F,0)),""))</f>
        <v/>
      </c>
      <c r="D302" s="8" t="str">
        <f>IFERROR(INDEX('02_能力差距自评'!$F$2:$F$311,MATCH(ROWS($D$2:D302),'02_能力差距自评'!$W$2:$W$311,0)),"")</f>
        <v/>
      </c>
      <c r="E302" s="8" t="str">
        <f>IF($D302="","",INDEX('02_能力差距自评'!$G:$G,MATCH($D302,'02_能力差距自评'!$F:$F,0)))</f>
        <v/>
      </c>
      <c r="F302" s="8" t="str">
        <f>IF($D302="","",INDEX('02_能力差距自评'!$C:$C,MATCH($D302,'02_能力差距自评'!$F:$F,0)))</f>
        <v/>
      </c>
      <c r="G302" s="8" t="str">
        <f>IF($D302="","",INDEX('02_能力差距自评'!$E:$E,MATCH($D302,'02_能力差距自评'!$F:$F,0)))</f>
        <v/>
      </c>
      <c r="H302" s="8" t="str">
        <f>IF($D302="","",INDEX('02_能力差距自评'!$L:$L,MATCH($D302,'02_能力差距自评'!$F:$F,0)))</f>
        <v/>
      </c>
      <c r="I302" s="8" t="str">
        <f>IF($D302="","",INDEX('02_能力差距自评'!$M:$M,MATCH($D302,'02_能力差距自评'!$F:$F,0)))</f>
        <v/>
      </c>
      <c r="J302" s="8" t="str">
        <f>IF($D302="","",INDEX('02_能力差距自评'!$N:$N,MATCH($D302,'02_能力差距自评'!$F:$F,0)))</f>
        <v/>
      </c>
      <c r="K302" s="8" t="str">
        <f>IF($D302="","",INDEX('02_能力差距自评'!$O:$O,MATCH($D302,'02_能力差距自评'!$F:$F,0)))</f>
        <v/>
      </c>
      <c r="L302" s="8" t="str">
        <f>IF($D302="","",INDEX('02_能力差距自评'!$I:$I,MATCH($D302,'02_能力差距自评'!$F:$F,0)))</f>
        <v/>
      </c>
      <c r="M302" s="8" t="str">
        <f t="shared" si="8"/>
        <v/>
      </c>
      <c r="N302" s="8" t="str">
        <f>IF($D302="","",INDEX('02_能力差距自评'!$J:$J,MATCH($D302,'02_能力差距自评'!$F:$F,0)))</f>
        <v/>
      </c>
      <c r="O302" s="8" t="str">
        <f>IF($D302="","",INDEX('02_能力差距自评'!$K:$K,MATCH($D302,'02_能力差距自评'!$F:$F,0)))</f>
        <v/>
      </c>
      <c r="P302" s="8"/>
      <c r="Q302" s="8"/>
      <c r="R302" s="8"/>
      <c r="S302" s="8" t="str">
        <f t="shared" si="9"/>
        <v/>
      </c>
      <c r="T302" s="8"/>
      <c r="U302" s="8"/>
      <c r="V302" s="8"/>
    </row>
    <row r="303" spans="1:22">
      <c r="A303" s="8" t="str">
        <f>IF($D303="","","LP"&amp;TEXT(ROWS($A$2:A303),"000"))</f>
        <v/>
      </c>
      <c r="B303" s="8" t="str">
        <f>IF($D303="","",IFERROR(INDEX('02_能力差距自评'!$Q:$Q,MATCH($D303,'02_能力差距自评'!$F:$F,0)),""))</f>
        <v/>
      </c>
      <c r="C303" s="8" t="str">
        <f>IF($D303="","",IFERROR(INDEX('02_能力差距自评'!$R:$R,MATCH($D303,'02_能力差距自评'!$F:$F,0)),""))</f>
        <v/>
      </c>
      <c r="D303" s="8" t="str">
        <f>IFERROR(INDEX('02_能力差距自评'!$F$2:$F$311,MATCH(ROWS($D$2:D303),'02_能力差距自评'!$W$2:$W$311,0)),"")</f>
        <v/>
      </c>
      <c r="E303" s="8" t="str">
        <f>IF($D303="","",INDEX('02_能力差距自评'!$G:$G,MATCH($D303,'02_能力差距自评'!$F:$F,0)))</f>
        <v/>
      </c>
      <c r="F303" s="8" t="str">
        <f>IF($D303="","",INDEX('02_能力差距自评'!$C:$C,MATCH($D303,'02_能力差距自评'!$F:$F,0)))</f>
        <v/>
      </c>
      <c r="G303" s="8" t="str">
        <f>IF($D303="","",INDEX('02_能力差距自评'!$E:$E,MATCH($D303,'02_能力差距自评'!$F:$F,0)))</f>
        <v/>
      </c>
      <c r="H303" s="8" t="str">
        <f>IF($D303="","",INDEX('02_能力差距自评'!$L:$L,MATCH($D303,'02_能力差距自评'!$F:$F,0)))</f>
        <v/>
      </c>
      <c r="I303" s="8" t="str">
        <f>IF($D303="","",INDEX('02_能力差距自评'!$M:$M,MATCH($D303,'02_能力差距自评'!$F:$F,0)))</f>
        <v/>
      </c>
      <c r="J303" s="8" t="str">
        <f>IF($D303="","",INDEX('02_能力差距自评'!$N:$N,MATCH($D303,'02_能力差距自评'!$F:$F,0)))</f>
        <v/>
      </c>
      <c r="K303" s="8" t="str">
        <f>IF($D303="","",INDEX('02_能力差距自评'!$O:$O,MATCH($D303,'02_能力差距自评'!$F:$F,0)))</f>
        <v/>
      </c>
      <c r="L303" s="8" t="str">
        <f>IF($D303="","",INDEX('02_能力差距自评'!$I:$I,MATCH($D303,'02_能力差距自评'!$F:$F,0)))</f>
        <v/>
      </c>
      <c r="M303" s="8" t="str">
        <f t="shared" si="8"/>
        <v/>
      </c>
      <c r="N303" s="8" t="str">
        <f>IF($D303="","",INDEX('02_能力差距自评'!$J:$J,MATCH($D303,'02_能力差距自评'!$F:$F,0)))</f>
        <v/>
      </c>
      <c r="O303" s="8" t="str">
        <f>IF($D303="","",INDEX('02_能力差距自评'!$K:$K,MATCH($D303,'02_能力差距自评'!$F:$F,0)))</f>
        <v/>
      </c>
      <c r="P303" s="8"/>
      <c r="Q303" s="8"/>
      <c r="R303" s="8"/>
      <c r="S303" s="8" t="str">
        <f t="shared" si="9"/>
        <v/>
      </c>
      <c r="T303" s="8"/>
      <c r="U303" s="8"/>
      <c r="V303" s="8"/>
    </row>
    <row r="304" spans="1:22">
      <c r="A304" s="8" t="str">
        <f>IF($D304="","","LP"&amp;TEXT(ROWS($A$2:A304),"000"))</f>
        <v/>
      </c>
      <c r="B304" s="8" t="str">
        <f>IF($D304="","",IFERROR(INDEX('02_能力差距自评'!$Q:$Q,MATCH($D304,'02_能力差距自评'!$F:$F,0)),""))</f>
        <v/>
      </c>
      <c r="C304" s="8" t="str">
        <f>IF($D304="","",IFERROR(INDEX('02_能力差距自评'!$R:$R,MATCH($D304,'02_能力差距自评'!$F:$F,0)),""))</f>
        <v/>
      </c>
      <c r="D304" s="8" t="str">
        <f>IFERROR(INDEX('02_能力差距自评'!$F$2:$F$311,MATCH(ROWS($D$2:D304),'02_能力差距自评'!$W$2:$W$311,0)),"")</f>
        <v/>
      </c>
      <c r="E304" s="8" t="str">
        <f>IF($D304="","",INDEX('02_能力差距自评'!$G:$G,MATCH($D304,'02_能力差距自评'!$F:$F,0)))</f>
        <v/>
      </c>
      <c r="F304" s="8" t="str">
        <f>IF($D304="","",INDEX('02_能力差距自评'!$C:$C,MATCH($D304,'02_能力差距自评'!$F:$F,0)))</f>
        <v/>
      </c>
      <c r="G304" s="8" t="str">
        <f>IF($D304="","",INDEX('02_能力差距自评'!$E:$E,MATCH($D304,'02_能力差距自评'!$F:$F,0)))</f>
        <v/>
      </c>
      <c r="H304" s="8" t="str">
        <f>IF($D304="","",INDEX('02_能力差距自评'!$L:$L,MATCH($D304,'02_能力差距自评'!$F:$F,0)))</f>
        <v/>
      </c>
      <c r="I304" s="8" t="str">
        <f>IF($D304="","",INDEX('02_能力差距自评'!$M:$M,MATCH($D304,'02_能力差距自评'!$F:$F,0)))</f>
        <v/>
      </c>
      <c r="J304" s="8" t="str">
        <f>IF($D304="","",INDEX('02_能力差距自评'!$N:$N,MATCH($D304,'02_能力差距自评'!$F:$F,0)))</f>
        <v/>
      </c>
      <c r="K304" s="8" t="str">
        <f>IF($D304="","",INDEX('02_能力差距自评'!$O:$O,MATCH($D304,'02_能力差距自评'!$F:$F,0)))</f>
        <v/>
      </c>
      <c r="L304" s="8" t="str">
        <f>IF($D304="","",INDEX('02_能力差距自评'!$I:$I,MATCH($D304,'02_能力差距自评'!$F:$F,0)))</f>
        <v/>
      </c>
      <c r="M304" s="8" t="str">
        <f t="shared" si="8"/>
        <v/>
      </c>
      <c r="N304" s="8" t="str">
        <f>IF($D304="","",INDEX('02_能力差距自评'!$J:$J,MATCH($D304,'02_能力差距自评'!$F:$F,0)))</f>
        <v/>
      </c>
      <c r="O304" s="8" t="str">
        <f>IF($D304="","",INDEX('02_能力差距自评'!$K:$K,MATCH($D304,'02_能力差距自评'!$F:$F,0)))</f>
        <v/>
      </c>
      <c r="P304" s="8"/>
      <c r="Q304" s="8"/>
      <c r="R304" s="8"/>
      <c r="S304" s="8" t="str">
        <f t="shared" si="9"/>
        <v/>
      </c>
      <c r="T304" s="8"/>
      <c r="U304" s="8"/>
      <c r="V304" s="8"/>
    </row>
    <row r="305" spans="1:22">
      <c r="A305" s="8" t="str">
        <f>IF($D305="","","LP"&amp;TEXT(ROWS($A$2:A305),"000"))</f>
        <v/>
      </c>
      <c r="B305" s="8" t="str">
        <f>IF($D305="","",IFERROR(INDEX('02_能力差距自评'!$Q:$Q,MATCH($D305,'02_能力差距自评'!$F:$F,0)),""))</f>
        <v/>
      </c>
      <c r="C305" s="8" t="str">
        <f>IF($D305="","",IFERROR(INDEX('02_能力差距自评'!$R:$R,MATCH($D305,'02_能力差距自评'!$F:$F,0)),""))</f>
        <v/>
      </c>
      <c r="D305" s="8" t="str">
        <f>IFERROR(INDEX('02_能力差距自评'!$F$2:$F$311,MATCH(ROWS($D$2:D305),'02_能力差距自评'!$W$2:$W$311,0)),"")</f>
        <v/>
      </c>
      <c r="E305" s="8" t="str">
        <f>IF($D305="","",INDEX('02_能力差距自评'!$G:$G,MATCH($D305,'02_能力差距自评'!$F:$F,0)))</f>
        <v/>
      </c>
      <c r="F305" s="8" t="str">
        <f>IF($D305="","",INDEX('02_能力差距自评'!$C:$C,MATCH($D305,'02_能力差距自评'!$F:$F,0)))</f>
        <v/>
      </c>
      <c r="G305" s="8" t="str">
        <f>IF($D305="","",INDEX('02_能力差距自评'!$E:$E,MATCH($D305,'02_能力差距自评'!$F:$F,0)))</f>
        <v/>
      </c>
      <c r="H305" s="8" t="str">
        <f>IF($D305="","",INDEX('02_能力差距自评'!$L:$L,MATCH($D305,'02_能力差距自评'!$F:$F,0)))</f>
        <v/>
      </c>
      <c r="I305" s="8" t="str">
        <f>IF($D305="","",INDEX('02_能力差距自评'!$M:$M,MATCH($D305,'02_能力差距自评'!$F:$F,0)))</f>
        <v/>
      </c>
      <c r="J305" s="8" t="str">
        <f>IF($D305="","",INDEX('02_能力差距自评'!$N:$N,MATCH($D305,'02_能力差距自评'!$F:$F,0)))</f>
        <v/>
      </c>
      <c r="K305" s="8" t="str">
        <f>IF($D305="","",INDEX('02_能力差距自评'!$O:$O,MATCH($D305,'02_能力差距自评'!$F:$F,0)))</f>
        <v/>
      </c>
      <c r="L305" s="8" t="str">
        <f>IF($D305="","",INDEX('02_能力差距自评'!$I:$I,MATCH($D305,'02_能力差距自评'!$F:$F,0)))</f>
        <v/>
      </c>
      <c r="M305" s="8" t="str">
        <f t="shared" si="8"/>
        <v/>
      </c>
      <c r="N305" s="8" t="str">
        <f>IF($D305="","",INDEX('02_能力差距自评'!$J:$J,MATCH($D305,'02_能力差距自评'!$F:$F,0)))</f>
        <v/>
      </c>
      <c r="O305" s="8" t="str">
        <f>IF($D305="","",INDEX('02_能力差距自评'!$K:$K,MATCH($D305,'02_能力差距自评'!$F:$F,0)))</f>
        <v/>
      </c>
      <c r="P305" s="8"/>
      <c r="Q305" s="8"/>
      <c r="R305" s="8"/>
      <c r="S305" s="8" t="str">
        <f t="shared" si="9"/>
        <v/>
      </c>
      <c r="T305" s="8"/>
      <c r="U305" s="8"/>
      <c r="V305" s="8"/>
    </row>
    <row r="306" spans="1:22">
      <c r="A306" s="8" t="str">
        <f>IF($D306="","","LP"&amp;TEXT(ROWS($A$2:A306),"000"))</f>
        <v/>
      </c>
      <c r="B306" s="8" t="str">
        <f>IF($D306="","",IFERROR(INDEX('02_能力差距自评'!$Q:$Q,MATCH($D306,'02_能力差距自评'!$F:$F,0)),""))</f>
        <v/>
      </c>
      <c r="C306" s="8" t="str">
        <f>IF($D306="","",IFERROR(INDEX('02_能力差距自评'!$R:$R,MATCH($D306,'02_能力差距自评'!$F:$F,0)),""))</f>
        <v/>
      </c>
      <c r="D306" s="8" t="str">
        <f>IFERROR(INDEX('02_能力差距自评'!$F$2:$F$311,MATCH(ROWS($D$2:D306),'02_能力差距自评'!$W$2:$W$311,0)),"")</f>
        <v/>
      </c>
      <c r="E306" s="8" t="str">
        <f>IF($D306="","",INDEX('02_能力差距自评'!$G:$G,MATCH($D306,'02_能力差距自评'!$F:$F,0)))</f>
        <v/>
      </c>
      <c r="F306" s="8" t="str">
        <f>IF($D306="","",INDEX('02_能力差距自评'!$C:$C,MATCH($D306,'02_能力差距自评'!$F:$F,0)))</f>
        <v/>
      </c>
      <c r="G306" s="8" t="str">
        <f>IF($D306="","",INDEX('02_能力差距自评'!$E:$E,MATCH($D306,'02_能力差距自评'!$F:$F,0)))</f>
        <v/>
      </c>
      <c r="H306" s="8" t="str">
        <f>IF($D306="","",INDEX('02_能力差距自评'!$L:$L,MATCH($D306,'02_能力差距自评'!$F:$F,0)))</f>
        <v/>
      </c>
      <c r="I306" s="8" t="str">
        <f>IF($D306="","",INDEX('02_能力差距自评'!$M:$M,MATCH($D306,'02_能力差距自评'!$F:$F,0)))</f>
        <v/>
      </c>
      <c r="J306" s="8" t="str">
        <f>IF($D306="","",INDEX('02_能力差距自评'!$N:$N,MATCH($D306,'02_能力差距自评'!$F:$F,0)))</f>
        <v/>
      </c>
      <c r="K306" s="8" t="str">
        <f>IF($D306="","",INDEX('02_能力差距自评'!$O:$O,MATCH($D306,'02_能力差距自评'!$F:$F,0)))</f>
        <v/>
      </c>
      <c r="L306" s="8" t="str">
        <f>IF($D306="","",INDEX('02_能力差距自评'!$I:$I,MATCH($D306,'02_能力差距自评'!$F:$F,0)))</f>
        <v/>
      </c>
      <c r="M306" s="8" t="str">
        <f t="shared" si="8"/>
        <v/>
      </c>
      <c r="N306" s="8" t="str">
        <f>IF($D306="","",INDEX('02_能力差距自评'!$J:$J,MATCH($D306,'02_能力差距自评'!$F:$F,0)))</f>
        <v/>
      </c>
      <c r="O306" s="8" t="str">
        <f>IF($D306="","",INDEX('02_能力差距自评'!$K:$K,MATCH($D306,'02_能力差距自评'!$F:$F,0)))</f>
        <v/>
      </c>
      <c r="P306" s="8"/>
      <c r="Q306" s="8"/>
      <c r="R306" s="8"/>
      <c r="S306" s="8" t="str">
        <f t="shared" si="9"/>
        <v/>
      </c>
      <c r="T306" s="8"/>
      <c r="U306" s="8"/>
      <c r="V306" s="8"/>
    </row>
    <row r="307" spans="1:22">
      <c r="A307" s="8" t="str">
        <f>IF($D307="","","LP"&amp;TEXT(ROWS($A$2:A307),"000"))</f>
        <v/>
      </c>
      <c r="B307" s="8" t="str">
        <f>IF($D307="","",IFERROR(INDEX('02_能力差距自评'!$Q:$Q,MATCH($D307,'02_能力差距自评'!$F:$F,0)),""))</f>
        <v/>
      </c>
      <c r="C307" s="8" t="str">
        <f>IF($D307="","",IFERROR(INDEX('02_能力差距自评'!$R:$R,MATCH($D307,'02_能力差距自评'!$F:$F,0)),""))</f>
        <v/>
      </c>
      <c r="D307" s="8" t="str">
        <f>IFERROR(INDEX('02_能力差距自评'!$F$2:$F$311,MATCH(ROWS($D$2:D307),'02_能力差距自评'!$W$2:$W$311,0)),"")</f>
        <v/>
      </c>
      <c r="E307" s="8" t="str">
        <f>IF($D307="","",INDEX('02_能力差距自评'!$G:$G,MATCH($D307,'02_能力差距自评'!$F:$F,0)))</f>
        <v/>
      </c>
      <c r="F307" s="8" t="str">
        <f>IF($D307="","",INDEX('02_能力差距自评'!$C:$C,MATCH($D307,'02_能力差距自评'!$F:$F,0)))</f>
        <v/>
      </c>
      <c r="G307" s="8" t="str">
        <f>IF($D307="","",INDEX('02_能力差距自评'!$E:$E,MATCH($D307,'02_能力差距自评'!$F:$F,0)))</f>
        <v/>
      </c>
      <c r="H307" s="8" t="str">
        <f>IF($D307="","",INDEX('02_能力差距自评'!$L:$L,MATCH($D307,'02_能力差距自评'!$F:$F,0)))</f>
        <v/>
      </c>
      <c r="I307" s="8" t="str">
        <f>IF($D307="","",INDEX('02_能力差距自评'!$M:$M,MATCH($D307,'02_能力差距自评'!$F:$F,0)))</f>
        <v/>
      </c>
      <c r="J307" s="8" t="str">
        <f>IF($D307="","",INDEX('02_能力差距自评'!$N:$N,MATCH($D307,'02_能力差距自评'!$F:$F,0)))</f>
        <v/>
      </c>
      <c r="K307" s="8" t="str">
        <f>IF($D307="","",INDEX('02_能力差距自评'!$O:$O,MATCH($D307,'02_能力差距自评'!$F:$F,0)))</f>
        <v/>
      </c>
      <c r="L307" s="8" t="str">
        <f>IF($D307="","",INDEX('02_能力差距自评'!$I:$I,MATCH($D307,'02_能力差距自评'!$F:$F,0)))</f>
        <v/>
      </c>
      <c r="M307" s="8" t="str">
        <f t="shared" si="8"/>
        <v/>
      </c>
      <c r="N307" s="8" t="str">
        <f>IF($D307="","",INDEX('02_能力差距自评'!$J:$J,MATCH($D307,'02_能力差距自评'!$F:$F,0)))</f>
        <v/>
      </c>
      <c r="O307" s="8" t="str">
        <f>IF($D307="","",INDEX('02_能力差距自评'!$K:$K,MATCH($D307,'02_能力差距自评'!$F:$F,0)))</f>
        <v/>
      </c>
      <c r="P307" s="8"/>
      <c r="Q307" s="8"/>
      <c r="R307" s="8"/>
      <c r="S307" s="8" t="str">
        <f t="shared" si="9"/>
        <v/>
      </c>
      <c r="T307" s="8"/>
      <c r="U307" s="8"/>
      <c r="V307" s="8"/>
    </row>
    <row r="308" spans="1:22">
      <c r="A308" s="8" t="str">
        <f>IF($D308="","","LP"&amp;TEXT(ROWS($A$2:A308),"000"))</f>
        <v/>
      </c>
      <c r="B308" s="8" t="str">
        <f>IF($D308="","",IFERROR(INDEX('02_能力差距自评'!$Q:$Q,MATCH($D308,'02_能力差距自评'!$F:$F,0)),""))</f>
        <v/>
      </c>
      <c r="C308" s="8" t="str">
        <f>IF($D308="","",IFERROR(INDEX('02_能力差距自评'!$R:$R,MATCH($D308,'02_能力差距自评'!$F:$F,0)),""))</f>
        <v/>
      </c>
      <c r="D308" s="8" t="str">
        <f>IFERROR(INDEX('02_能力差距自评'!$F$2:$F$311,MATCH(ROWS($D$2:D308),'02_能力差距自评'!$W$2:$W$311,0)),"")</f>
        <v/>
      </c>
      <c r="E308" s="8" t="str">
        <f>IF($D308="","",INDEX('02_能力差距自评'!$G:$G,MATCH($D308,'02_能力差距自评'!$F:$F,0)))</f>
        <v/>
      </c>
      <c r="F308" s="8" t="str">
        <f>IF($D308="","",INDEX('02_能力差距自评'!$C:$C,MATCH($D308,'02_能力差距自评'!$F:$F,0)))</f>
        <v/>
      </c>
      <c r="G308" s="8" t="str">
        <f>IF($D308="","",INDEX('02_能力差距自评'!$E:$E,MATCH($D308,'02_能力差距自评'!$F:$F,0)))</f>
        <v/>
      </c>
      <c r="H308" s="8" t="str">
        <f>IF($D308="","",INDEX('02_能力差距自评'!$L:$L,MATCH($D308,'02_能力差距自评'!$F:$F,0)))</f>
        <v/>
      </c>
      <c r="I308" s="8" t="str">
        <f>IF($D308="","",INDEX('02_能力差距自评'!$M:$M,MATCH($D308,'02_能力差距自评'!$F:$F,0)))</f>
        <v/>
      </c>
      <c r="J308" s="8" t="str">
        <f>IF($D308="","",INDEX('02_能力差距自评'!$N:$N,MATCH($D308,'02_能力差距自评'!$F:$F,0)))</f>
        <v/>
      </c>
      <c r="K308" s="8" t="str">
        <f>IF($D308="","",INDEX('02_能力差距自评'!$O:$O,MATCH($D308,'02_能力差距自评'!$F:$F,0)))</f>
        <v/>
      </c>
      <c r="L308" s="8" t="str">
        <f>IF($D308="","",INDEX('02_能力差距自评'!$I:$I,MATCH($D308,'02_能力差距自评'!$F:$F,0)))</f>
        <v/>
      </c>
      <c r="M308" s="8" t="str">
        <f t="shared" si="8"/>
        <v/>
      </c>
      <c r="N308" s="8" t="str">
        <f>IF($D308="","",INDEX('02_能力差距自评'!$J:$J,MATCH($D308,'02_能力差距自评'!$F:$F,0)))</f>
        <v/>
      </c>
      <c r="O308" s="8" t="str">
        <f>IF($D308="","",INDEX('02_能力差距自评'!$K:$K,MATCH($D308,'02_能力差距自评'!$F:$F,0)))</f>
        <v/>
      </c>
      <c r="P308" s="8"/>
      <c r="Q308" s="8"/>
      <c r="R308" s="8"/>
      <c r="S308" s="8" t="str">
        <f t="shared" si="9"/>
        <v/>
      </c>
      <c r="T308" s="8"/>
      <c r="U308" s="8"/>
      <c r="V308" s="8"/>
    </row>
    <row r="309" spans="1:22">
      <c r="A309" s="8" t="str">
        <f>IF($D309="","","LP"&amp;TEXT(ROWS($A$2:A309),"000"))</f>
        <v/>
      </c>
      <c r="B309" s="8" t="str">
        <f>IF($D309="","",IFERROR(INDEX('02_能力差距自评'!$Q:$Q,MATCH($D309,'02_能力差距自评'!$F:$F,0)),""))</f>
        <v/>
      </c>
      <c r="C309" s="8" t="str">
        <f>IF($D309="","",IFERROR(INDEX('02_能力差距自评'!$R:$R,MATCH($D309,'02_能力差距自评'!$F:$F,0)),""))</f>
        <v/>
      </c>
      <c r="D309" s="8" t="str">
        <f>IFERROR(INDEX('02_能力差距自评'!$F$2:$F$311,MATCH(ROWS($D$2:D309),'02_能力差距自评'!$W$2:$W$311,0)),"")</f>
        <v/>
      </c>
      <c r="E309" s="8" t="str">
        <f>IF($D309="","",INDEX('02_能力差距自评'!$G:$G,MATCH($D309,'02_能力差距自评'!$F:$F,0)))</f>
        <v/>
      </c>
      <c r="F309" s="8" t="str">
        <f>IF($D309="","",INDEX('02_能力差距自评'!$C:$C,MATCH($D309,'02_能力差距自评'!$F:$F,0)))</f>
        <v/>
      </c>
      <c r="G309" s="8" t="str">
        <f>IF($D309="","",INDEX('02_能力差距自评'!$E:$E,MATCH($D309,'02_能力差距自评'!$F:$F,0)))</f>
        <v/>
      </c>
      <c r="H309" s="8" t="str">
        <f>IF($D309="","",INDEX('02_能力差距自评'!$L:$L,MATCH($D309,'02_能力差距自评'!$F:$F,0)))</f>
        <v/>
      </c>
      <c r="I309" s="8" t="str">
        <f>IF($D309="","",INDEX('02_能力差距自评'!$M:$M,MATCH($D309,'02_能力差距自评'!$F:$F,0)))</f>
        <v/>
      </c>
      <c r="J309" s="8" t="str">
        <f>IF($D309="","",INDEX('02_能力差距自评'!$N:$N,MATCH($D309,'02_能力差距自评'!$F:$F,0)))</f>
        <v/>
      </c>
      <c r="K309" s="8" t="str">
        <f>IF($D309="","",INDEX('02_能力差距自评'!$O:$O,MATCH($D309,'02_能力差距自评'!$F:$F,0)))</f>
        <v/>
      </c>
      <c r="L309" s="8" t="str">
        <f>IF($D309="","",INDEX('02_能力差距自评'!$I:$I,MATCH($D309,'02_能力差距自评'!$F:$F,0)))</f>
        <v/>
      </c>
      <c r="M309" s="8" t="str">
        <f t="shared" si="8"/>
        <v/>
      </c>
      <c r="N309" s="8" t="str">
        <f>IF($D309="","",INDEX('02_能力差距自评'!$J:$J,MATCH($D309,'02_能力差距自评'!$F:$F,0)))</f>
        <v/>
      </c>
      <c r="O309" s="8" t="str">
        <f>IF($D309="","",INDEX('02_能力差距自评'!$K:$K,MATCH($D309,'02_能力差距自评'!$F:$F,0)))</f>
        <v/>
      </c>
      <c r="P309" s="8"/>
      <c r="Q309" s="8"/>
      <c r="R309" s="8"/>
      <c r="S309" s="8" t="str">
        <f t="shared" si="9"/>
        <v/>
      </c>
      <c r="T309" s="8"/>
      <c r="U309" s="8"/>
      <c r="V309" s="8"/>
    </row>
    <row r="310" spans="1:22">
      <c r="A310" s="8" t="str">
        <f>IF($D310="","","LP"&amp;TEXT(ROWS($A$2:A310),"000"))</f>
        <v/>
      </c>
      <c r="B310" s="8" t="str">
        <f>IF($D310="","",IFERROR(INDEX('02_能力差距自评'!$Q:$Q,MATCH($D310,'02_能力差距自评'!$F:$F,0)),""))</f>
        <v/>
      </c>
      <c r="C310" s="8" t="str">
        <f>IF($D310="","",IFERROR(INDEX('02_能力差距自评'!$R:$R,MATCH($D310,'02_能力差距自评'!$F:$F,0)),""))</f>
        <v/>
      </c>
      <c r="D310" s="8" t="str">
        <f>IFERROR(INDEX('02_能力差距自评'!$F$2:$F$311,MATCH(ROWS($D$2:D310),'02_能力差距自评'!$W$2:$W$311,0)),"")</f>
        <v/>
      </c>
      <c r="E310" s="8" t="str">
        <f>IF($D310="","",INDEX('02_能力差距自评'!$G:$G,MATCH($D310,'02_能力差距自评'!$F:$F,0)))</f>
        <v/>
      </c>
      <c r="F310" s="8" t="str">
        <f>IF($D310="","",INDEX('02_能力差距自评'!$C:$C,MATCH($D310,'02_能力差距自评'!$F:$F,0)))</f>
        <v/>
      </c>
      <c r="G310" s="8" t="str">
        <f>IF($D310="","",INDEX('02_能力差距自评'!$E:$E,MATCH($D310,'02_能力差距自评'!$F:$F,0)))</f>
        <v/>
      </c>
      <c r="H310" s="8" t="str">
        <f>IF($D310="","",INDEX('02_能力差距自评'!$L:$L,MATCH($D310,'02_能力差距自评'!$F:$F,0)))</f>
        <v/>
      </c>
      <c r="I310" s="8" t="str">
        <f>IF($D310="","",INDEX('02_能力差距自评'!$M:$M,MATCH($D310,'02_能力差距自评'!$F:$F,0)))</f>
        <v/>
      </c>
      <c r="J310" s="8" t="str">
        <f>IF($D310="","",INDEX('02_能力差距自评'!$N:$N,MATCH($D310,'02_能力差距自评'!$F:$F,0)))</f>
        <v/>
      </c>
      <c r="K310" s="8" t="str">
        <f>IF($D310="","",INDEX('02_能力差距自评'!$O:$O,MATCH($D310,'02_能力差距自评'!$F:$F,0)))</f>
        <v/>
      </c>
      <c r="L310" s="8" t="str">
        <f>IF($D310="","",INDEX('02_能力差距自评'!$I:$I,MATCH($D310,'02_能力差距自评'!$F:$F,0)))</f>
        <v/>
      </c>
      <c r="M310" s="8" t="str">
        <f t="shared" si="8"/>
        <v/>
      </c>
      <c r="N310" s="8" t="str">
        <f>IF($D310="","",INDEX('02_能力差距自评'!$J:$J,MATCH($D310,'02_能力差距自评'!$F:$F,0)))</f>
        <v/>
      </c>
      <c r="O310" s="8" t="str">
        <f>IF($D310="","",INDEX('02_能力差距自评'!$K:$K,MATCH($D310,'02_能力差距自评'!$F:$F,0)))</f>
        <v/>
      </c>
      <c r="P310" s="8"/>
      <c r="Q310" s="8"/>
      <c r="R310" s="8"/>
      <c r="S310" s="8" t="str">
        <f t="shared" si="9"/>
        <v/>
      </c>
      <c r="T310" s="8"/>
      <c r="U310" s="8"/>
      <c r="V310" s="8"/>
    </row>
    <row r="311" spans="1:22">
      <c r="A311" s="8" t="str">
        <f>IF($D311="","","LP"&amp;TEXT(ROWS($A$2:A311),"000"))</f>
        <v/>
      </c>
      <c r="B311" s="8" t="str">
        <f>IF($D311="","",IFERROR(INDEX('02_能力差距自评'!$Q:$Q,MATCH($D311,'02_能力差距自评'!$F:$F,0)),""))</f>
        <v/>
      </c>
      <c r="C311" s="8" t="str">
        <f>IF($D311="","",IFERROR(INDEX('02_能力差距自评'!$R:$R,MATCH($D311,'02_能力差距自评'!$F:$F,0)),""))</f>
        <v/>
      </c>
      <c r="D311" s="8" t="str">
        <f>IFERROR(INDEX('02_能力差距自评'!$F$2:$F$311,MATCH(ROWS($D$2:D311),'02_能力差距自评'!$W$2:$W$311,0)),"")</f>
        <v/>
      </c>
      <c r="E311" s="8" t="str">
        <f>IF($D311="","",INDEX('02_能力差距自评'!$G:$G,MATCH($D311,'02_能力差距自评'!$F:$F,0)))</f>
        <v/>
      </c>
      <c r="F311" s="8" t="str">
        <f>IF($D311="","",INDEX('02_能力差距自评'!$C:$C,MATCH($D311,'02_能力差距自评'!$F:$F,0)))</f>
        <v/>
      </c>
      <c r="G311" s="8" t="str">
        <f>IF($D311="","",INDEX('02_能力差距自评'!$E:$E,MATCH($D311,'02_能力差距自评'!$F:$F,0)))</f>
        <v/>
      </c>
      <c r="H311" s="8" t="str">
        <f>IF($D311="","",INDEX('02_能力差距自评'!$L:$L,MATCH($D311,'02_能力差距自评'!$F:$F,0)))</f>
        <v/>
      </c>
      <c r="I311" s="8" t="str">
        <f>IF($D311="","",INDEX('02_能力差距自评'!$M:$M,MATCH($D311,'02_能力差距自评'!$F:$F,0)))</f>
        <v/>
      </c>
      <c r="J311" s="8" t="str">
        <f>IF($D311="","",INDEX('02_能力差距自评'!$N:$N,MATCH($D311,'02_能力差距自评'!$F:$F,0)))</f>
        <v/>
      </c>
      <c r="K311" s="8" t="str">
        <f>IF($D311="","",INDEX('02_能力差距自评'!$O:$O,MATCH($D311,'02_能力差距自评'!$F:$F,0)))</f>
        <v/>
      </c>
      <c r="L311" s="8" t="str">
        <f>IF($D311="","",INDEX('02_能力差距自评'!$I:$I,MATCH($D311,'02_能力差距自评'!$F:$F,0)))</f>
        <v/>
      </c>
      <c r="M311" s="8" t="str">
        <f t="shared" si="8"/>
        <v/>
      </c>
      <c r="N311" s="8" t="str">
        <f>IF($D311="","",INDEX('02_能力差距自评'!$J:$J,MATCH($D311,'02_能力差距自评'!$F:$F,0)))</f>
        <v/>
      </c>
      <c r="O311" s="8" t="str">
        <f>IF($D311="","",INDEX('02_能力差距自评'!$K:$K,MATCH($D311,'02_能力差距自评'!$F:$F,0)))</f>
        <v/>
      </c>
      <c r="P311" s="8"/>
      <c r="Q311" s="8"/>
      <c r="R311" s="8"/>
      <c r="S311" s="8" t="str">
        <f t="shared" si="9"/>
        <v/>
      </c>
      <c r="T311" s="8"/>
      <c r="U311" s="8"/>
      <c r="V311" s="8"/>
    </row>
    <row r="312" spans="1:22">
      <c r="A312" s="8" t="str">
        <f>IF($D312="","","LP"&amp;TEXT(ROWS($A$2:A312),"000"))</f>
        <v/>
      </c>
      <c r="B312" s="8" t="str">
        <f>IF($D312="","",IFERROR(INDEX('02_能力差距自评'!$Q:$Q,MATCH($D312,'02_能力差距自评'!$F:$F,0)),""))</f>
        <v/>
      </c>
      <c r="C312" s="8" t="str">
        <f>IF($D312="","",IFERROR(INDEX('02_能力差距自评'!$R:$R,MATCH($D312,'02_能力差距自评'!$F:$F,0)),""))</f>
        <v/>
      </c>
      <c r="D312" s="8" t="str">
        <f>IFERROR(INDEX('02_能力差距自评'!$F$2:$F$311,MATCH(ROWS($D$2:D312),'02_能力差距自评'!$W$2:$W$311,0)),"")</f>
        <v/>
      </c>
      <c r="E312" s="8" t="str">
        <f>IF($D312="","",INDEX('02_能力差距自评'!$G:$G,MATCH($D312,'02_能力差距自评'!$F:$F,0)))</f>
        <v/>
      </c>
      <c r="F312" s="8" t="str">
        <f>IF($D312="","",INDEX('02_能力差距自评'!$C:$C,MATCH($D312,'02_能力差距自评'!$F:$F,0)))</f>
        <v/>
      </c>
      <c r="G312" s="8" t="str">
        <f>IF($D312="","",INDEX('02_能力差距自评'!$E:$E,MATCH($D312,'02_能力差距自评'!$F:$F,0)))</f>
        <v/>
      </c>
      <c r="H312" s="8" t="str">
        <f>IF($D312="","",INDEX('02_能力差距自评'!$L:$L,MATCH($D312,'02_能力差距自评'!$F:$F,0)))</f>
        <v/>
      </c>
      <c r="I312" s="8" t="str">
        <f>IF($D312="","",INDEX('02_能力差距自评'!$M:$M,MATCH($D312,'02_能力差距自评'!$F:$F,0)))</f>
        <v/>
      </c>
      <c r="J312" s="8" t="str">
        <f>IF($D312="","",INDEX('02_能力差距自评'!$N:$N,MATCH($D312,'02_能力差距自评'!$F:$F,0)))</f>
        <v/>
      </c>
      <c r="K312" s="8" t="str">
        <f>IF($D312="","",INDEX('02_能力差距自评'!$O:$O,MATCH($D312,'02_能力差距自评'!$F:$F,0)))</f>
        <v/>
      </c>
      <c r="L312" s="8" t="str">
        <f>IF($D312="","",INDEX('02_能力差距自评'!$I:$I,MATCH($D312,'02_能力差距自评'!$F:$F,0)))</f>
        <v/>
      </c>
      <c r="M312" s="8" t="str">
        <f t="shared" si="8"/>
        <v/>
      </c>
      <c r="N312" s="8" t="str">
        <f>IF($D312="","",INDEX('02_能力差距自评'!$J:$J,MATCH($D312,'02_能力差距自评'!$F:$F,0)))</f>
        <v/>
      </c>
      <c r="O312" s="8" t="str">
        <f>IF($D312="","",INDEX('02_能力差距自评'!$K:$K,MATCH($D312,'02_能力差距自评'!$F:$F,0)))</f>
        <v/>
      </c>
      <c r="P312" s="8"/>
      <c r="Q312" s="8"/>
      <c r="R312" s="8"/>
      <c r="S312" s="8" t="str">
        <f t="shared" si="9"/>
        <v/>
      </c>
      <c r="T312" s="8"/>
      <c r="U312" s="8"/>
      <c r="V312" s="8"/>
    </row>
    <row r="313" spans="1:22">
      <c r="A313" s="8" t="str">
        <f>IF($D313="","","LP"&amp;TEXT(ROWS($A$2:A313),"000"))</f>
        <v/>
      </c>
      <c r="B313" s="8" t="str">
        <f>IF($D313="","",IFERROR(INDEX('02_能力差距自评'!$Q:$Q,MATCH($D313,'02_能力差距自评'!$F:$F,0)),""))</f>
        <v/>
      </c>
      <c r="C313" s="8" t="str">
        <f>IF($D313="","",IFERROR(INDEX('02_能力差距自评'!$R:$R,MATCH($D313,'02_能力差距自评'!$F:$F,0)),""))</f>
        <v/>
      </c>
      <c r="D313" s="8" t="str">
        <f>IFERROR(INDEX('02_能力差距自评'!$F$2:$F$311,MATCH(ROWS($D$2:D313),'02_能力差距自评'!$W$2:$W$311,0)),"")</f>
        <v/>
      </c>
      <c r="E313" s="8" t="str">
        <f>IF($D313="","",INDEX('02_能力差距自评'!$G:$G,MATCH($D313,'02_能力差距自评'!$F:$F,0)))</f>
        <v/>
      </c>
      <c r="F313" s="8" t="str">
        <f>IF($D313="","",INDEX('02_能力差距自评'!$C:$C,MATCH($D313,'02_能力差距自评'!$F:$F,0)))</f>
        <v/>
      </c>
      <c r="G313" s="8" t="str">
        <f>IF($D313="","",INDEX('02_能力差距自评'!$E:$E,MATCH($D313,'02_能力差距自评'!$F:$F,0)))</f>
        <v/>
      </c>
      <c r="H313" s="8" t="str">
        <f>IF($D313="","",INDEX('02_能力差距自评'!$L:$L,MATCH($D313,'02_能力差距自评'!$F:$F,0)))</f>
        <v/>
      </c>
      <c r="I313" s="8" t="str">
        <f>IF($D313="","",INDEX('02_能力差距自评'!$M:$M,MATCH($D313,'02_能力差距自评'!$F:$F,0)))</f>
        <v/>
      </c>
      <c r="J313" s="8" t="str">
        <f>IF($D313="","",INDEX('02_能力差距自评'!$N:$N,MATCH($D313,'02_能力差距自评'!$F:$F,0)))</f>
        <v/>
      </c>
      <c r="K313" s="8" t="str">
        <f>IF($D313="","",INDEX('02_能力差距自评'!$O:$O,MATCH($D313,'02_能力差距自评'!$F:$F,0)))</f>
        <v/>
      </c>
      <c r="L313" s="8" t="str">
        <f>IF($D313="","",INDEX('02_能力差距自评'!$I:$I,MATCH($D313,'02_能力差距自评'!$F:$F,0)))</f>
        <v/>
      </c>
      <c r="M313" s="8" t="str">
        <f t="shared" si="8"/>
        <v/>
      </c>
      <c r="N313" s="8" t="str">
        <f>IF($D313="","",INDEX('02_能力差距自评'!$J:$J,MATCH($D313,'02_能力差距自评'!$F:$F,0)))</f>
        <v/>
      </c>
      <c r="O313" s="8" t="str">
        <f>IF($D313="","",INDEX('02_能力差距自评'!$K:$K,MATCH($D313,'02_能力差距自评'!$F:$F,0)))</f>
        <v/>
      </c>
      <c r="P313" s="8"/>
      <c r="Q313" s="8"/>
      <c r="R313" s="8"/>
      <c r="S313" s="8" t="str">
        <f t="shared" si="9"/>
        <v/>
      </c>
      <c r="T313" s="8"/>
      <c r="U313" s="8"/>
      <c r="V313" s="8"/>
    </row>
    <row r="314" spans="1:22">
      <c r="A314" s="8" t="str">
        <f>IF($D314="","","LP"&amp;TEXT(ROWS($A$2:A314),"000"))</f>
        <v/>
      </c>
      <c r="B314" s="8" t="str">
        <f>IF($D314="","",IFERROR(INDEX('02_能力差距自评'!$Q:$Q,MATCH($D314,'02_能力差距自评'!$F:$F,0)),""))</f>
        <v/>
      </c>
      <c r="C314" s="8" t="str">
        <f>IF($D314="","",IFERROR(INDEX('02_能力差距自评'!$R:$R,MATCH($D314,'02_能力差距自评'!$F:$F,0)),""))</f>
        <v/>
      </c>
      <c r="D314" s="8" t="str">
        <f>IFERROR(INDEX('02_能力差距自评'!$F$2:$F$311,MATCH(ROWS($D$2:D314),'02_能力差距自评'!$W$2:$W$311,0)),"")</f>
        <v/>
      </c>
      <c r="E314" s="8" t="str">
        <f>IF($D314="","",INDEX('02_能力差距自评'!$G:$G,MATCH($D314,'02_能力差距自评'!$F:$F,0)))</f>
        <v/>
      </c>
      <c r="F314" s="8" t="str">
        <f>IF($D314="","",INDEX('02_能力差距自评'!$C:$C,MATCH($D314,'02_能力差距自评'!$F:$F,0)))</f>
        <v/>
      </c>
      <c r="G314" s="8" t="str">
        <f>IF($D314="","",INDEX('02_能力差距自评'!$E:$E,MATCH($D314,'02_能力差距自评'!$F:$F,0)))</f>
        <v/>
      </c>
      <c r="H314" s="8" t="str">
        <f>IF($D314="","",INDEX('02_能力差距自评'!$L:$L,MATCH($D314,'02_能力差距自评'!$F:$F,0)))</f>
        <v/>
      </c>
      <c r="I314" s="8" t="str">
        <f>IF($D314="","",INDEX('02_能力差距自评'!$M:$M,MATCH($D314,'02_能力差距自评'!$F:$F,0)))</f>
        <v/>
      </c>
      <c r="J314" s="8" t="str">
        <f>IF($D314="","",INDEX('02_能力差距自评'!$N:$N,MATCH($D314,'02_能力差距自评'!$F:$F,0)))</f>
        <v/>
      </c>
      <c r="K314" s="8" t="str">
        <f>IF($D314="","",INDEX('02_能力差距自评'!$O:$O,MATCH($D314,'02_能力差距自评'!$F:$F,0)))</f>
        <v/>
      </c>
      <c r="L314" s="8" t="str">
        <f>IF($D314="","",INDEX('02_能力差距自评'!$I:$I,MATCH($D314,'02_能力差距自评'!$F:$F,0)))</f>
        <v/>
      </c>
      <c r="M314" s="8" t="str">
        <f t="shared" si="8"/>
        <v/>
      </c>
      <c r="N314" s="8" t="str">
        <f>IF($D314="","",INDEX('02_能力差距自评'!$J:$J,MATCH($D314,'02_能力差距自评'!$F:$F,0)))</f>
        <v/>
      </c>
      <c r="O314" s="8" t="str">
        <f>IF($D314="","",INDEX('02_能力差距自评'!$K:$K,MATCH($D314,'02_能力差距自评'!$F:$F,0)))</f>
        <v/>
      </c>
      <c r="P314" s="8"/>
      <c r="Q314" s="8"/>
      <c r="R314" s="8"/>
      <c r="S314" s="8" t="str">
        <f t="shared" si="9"/>
        <v/>
      </c>
      <c r="T314" s="8"/>
      <c r="U314" s="8"/>
      <c r="V314" s="8"/>
    </row>
    <row r="315" spans="1:22">
      <c r="A315" s="8" t="str">
        <f>IF($D315="","","LP"&amp;TEXT(ROWS($A$2:A315),"000"))</f>
        <v/>
      </c>
      <c r="B315" s="8" t="str">
        <f>IF($D315="","",IFERROR(INDEX('02_能力差距自评'!$Q:$Q,MATCH($D315,'02_能力差距自评'!$F:$F,0)),""))</f>
        <v/>
      </c>
      <c r="C315" s="8" t="str">
        <f>IF($D315="","",IFERROR(INDEX('02_能力差距自评'!$R:$R,MATCH($D315,'02_能力差距自评'!$F:$F,0)),""))</f>
        <v/>
      </c>
      <c r="D315" s="8" t="str">
        <f>IFERROR(INDEX('02_能力差距自评'!$F$2:$F$311,MATCH(ROWS($D$2:D315),'02_能力差距自评'!$W$2:$W$311,0)),"")</f>
        <v/>
      </c>
      <c r="E315" s="8" t="str">
        <f>IF($D315="","",INDEX('02_能力差距自评'!$G:$G,MATCH($D315,'02_能力差距自评'!$F:$F,0)))</f>
        <v/>
      </c>
      <c r="F315" s="8" t="str">
        <f>IF($D315="","",INDEX('02_能力差距自评'!$C:$C,MATCH($D315,'02_能力差距自评'!$F:$F,0)))</f>
        <v/>
      </c>
      <c r="G315" s="8" t="str">
        <f>IF($D315="","",INDEX('02_能力差距自评'!$E:$E,MATCH($D315,'02_能力差距自评'!$F:$F,0)))</f>
        <v/>
      </c>
      <c r="H315" s="8" t="str">
        <f>IF($D315="","",INDEX('02_能力差距自评'!$L:$L,MATCH($D315,'02_能力差距自评'!$F:$F,0)))</f>
        <v/>
      </c>
      <c r="I315" s="8" t="str">
        <f>IF($D315="","",INDEX('02_能力差距自评'!$M:$M,MATCH($D315,'02_能力差距自评'!$F:$F,0)))</f>
        <v/>
      </c>
      <c r="J315" s="8" t="str">
        <f>IF($D315="","",INDEX('02_能力差距自评'!$N:$N,MATCH($D315,'02_能力差距自评'!$F:$F,0)))</f>
        <v/>
      </c>
      <c r="K315" s="8" t="str">
        <f>IF($D315="","",INDEX('02_能力差距自评'!$O:$O,MATCH($D315,'02_能力差距自评'!$F:$F,0)))</f>
        <v/>
      </c>
      <c r="L315" s="8" t="str">
        <f>IF($D315="","",INDEX('02_能力差距自评'!$I:$I,MATCH($D315,'02_能力差距自评'!$F:$F,0)))</f>
        <v/>
      </c>
      <c r="M315" s="8" t="str">
        <f t="shared" si="8"/>
        <v/>
      </c>
      <c r="N315" s="8" t="str">
        <f>IF($D315="","",INDEX('02_能力差距自评'!$J:$J,MATCH($D315,'02_能力差距自评'!$F:$F,0)))</f>
        <v/>
      </c>
      <c r="O315" s="8" t="str">
        <f>IF($D315="","",INDEX('02_能力差距自评'!$K:$K,MATCH($D315,'02_能力差距自评'!$F:$F,0)))</f>
        <v/>
      </c>
      <c r="P315" s="8"/>
      <c r="Q315" s="8"/>
      <c r="R315" s="8"/>
      <c r="S315" s="8" t="str">
        <f t="shared" si="9"/>
        <v/>
      </c>
      <c r="T315" s="8"/>
      <c r="U315" s="8"/>
      <c r="V315" s="8"/>
    </row>
    <row r="316" spans="1:22">
      <c r="A316" s="8" t="str">
        <f>IF($D316="","","LP"&amp;TEXT(ROWS($A$2:A316),"000"))</f>
        <v/>
      </c>
      <c r="B316" s="8" t="str">
        <f>IF($D316="","",IFERROR(INDEX('02_能力差距自评'!$Q:$Q,MATCH($D316,'02_能力差距自评'!$F:$F,0)),""))</f>
        <v/>
      </c>
      <c r="C316" s="8" t="str">
        <f>IF($D316="","",IFERROR(INDEX('02_能力差距自评'!$R:$R,MATCH($D316,'02_能力差距自评'!$F:$F,0)),""))</f>
        <v/>
      </c>
      <c r="D316" s="8" t="str">
        <f>IFERROR(INDEX('02_能力差距自评'!$F$2:$F$311,MATCH(ROWS($D$2:D316),'02_能力差距自评'!$W$2:$W$311,0)),"")</f>
        <v/>
      </c>
      <c r="E316" s="8" t="str">
        <f>IF($D316="","",INDEX('02_能力差距自评'!$G:$G,MATCH($D316,'02_能力差距自评'!$F:$F,0)))</f>
        <v/>
      </c>
      <c r="F316" s="8" t="str">
        <f>IF($D316="","",INDEX('02_能力差距自评'!$C:$C,MATCH($D316,'02_能力差距自评'!$F:$F,0)))</f>
        <v/>
      </c>
      <c r="G316" s="8" t="str">
        <f>IF($D316="","",INDEX('02_能力差距自评'!$E:$E,MATCH($D316,'02_能力差距自评'!$F:$F,0)))</f>
        <v/>
      </c>
      <c r="H316" s="8" t="str">
        <f>IF($D316="","",INDEX('02_能力差距自评'!$L:$L,MATCH($D316,'02_能力差距自评'!$F:$F,0)))</f>
        <v/>
      </c>
      <c r="I316" s="8" t="str">
        <f>IF($D316="","",INDEX('02_能力差距自评'!$M:$M,MATCH($D316,'02_能力差距自评'!$F:$F,0)))</f>
        <v/>
      </c>
      <c r="J316" s="8" t="str">
        <f>IF($D316="","",INDEX('02_能力差距自评'!$N:$N,MATCH($D316,'02_能力差距自评'!$F:$F,0)))</f>
        <v/>
      </c>
      <c r="K316" s="8" t="str">
        <f>IF($D316="","",INDEX('02_能力差距自评'!$O:$O,MATCH($D316,'02_能力差距自评'!$F:$F,0)))</f>
        <v/>
      </c>
      <c r="L316" s="8" t="str">
        <f>IF($D316="","",INDEX('02_能力差距自评'!$I:$I,MATCH($D316,'02_能力差距自评'!$F:$F,0)))</f>
        <v/>
      </c>
      <c r="M316" s="8" t="str">
        <f t="shared" si="8"/>
        <v/>
      </c>
      <c r="N316" s="8" t="str">
        <f>IF($D316="","",INDEX('02_能力差距自评'!$J:$J,MATCH($D316,'02_能力差距自评'!$F:$F,0)))</f>
        <v/>
      </c>
      <c r="O316" s="8" t="str">
        <f>IF($D316="","",INDEX('02_能力差距自评'!$K:$K,MATCH($D316,'02_能力差距自评'!$F:$F,0)))</f>
        <v/>
      </c>
      <c r="P316" s="8"/>
      <c r="Q316" s="8"/>
      <c r="R316" s="8"/>
      <c r="S316" s="8" t="str">
        <f t="shared" si="9"/>
        <v/>
      </c>
      <c r="T316" s="8"/>
      <c r="U316" s="8"/>
      <c r="V316" s="8"/>
    </row>
    <row r="317" spans="1:22">
      <c r="A317" s="8" t="str">
        <f>IF($D317="","","LP"&amp;TEXT(ROWS($A$2:A317),"000"))</f>
        <v/>
      </c>
      <c r="B317" s="8" t="str">
        <f>IF($D317="","",IFERROR(INDEX('02_能力差距自评'!$Q:$Q,MATCH($D317,'02_能力差距自评'!$F:$F,0)),""))</f>
        <v/>
      </c>
      <c r="C317" s="8" t="str">
        <f>IF($D317="","",IFERROR(INDEX('02_能力差距自评'!$R:$R,MATCH($D317,'02_能力差距自评'!$F:$F,0)),""))</f>
        <v/>
      </c>
      <c r="D317" s="8" t="str">
        <f>IFERROR(INDEX('02_能力差距自评'!$F$2:$F$311,MATCH(ROWS($D$2:D317),'02_能力差距自评'!$W$2:$W$311,0)),"")</f>
        <v/>
      </c>
      <c r="E317" s="8" t="str">
        <f>IF($D317="","",INDEX('02_能力差距自评'!$G:$G,MATCH($D317,'02_能力差距自评'!$F:$F,0)))</f>
        <v/>
      </c>
      <c r="F317" s="8" t="str">
        <f>IF($D317="","",INDEX('02_能力差距自评'!$C:$C,MATCH($D317,'02_能力差距自评'!$F:$F,0)))</f>
        <v/>
      </c>
      <c r="G317" s="8" t="str">
        <f>IF($D317="","",INDEX('02_能力差距自评'!$E:$E,MATCH($D317,'02_能力差距自评'!$F:$F,0)))</f>
        <v/>
      </c>
      <c r="H317" s="8" t="str">
        <f>IF($D317="","",INDEX('02_能力差距自评'!$L:$L,MATCH($D317,'02_能力差距自评'!$F:$F,0)))</f>
        <v/>
      </c>
      <c r="I317" s="8" t="str">
        <f>IF($D317="","",INDEX('02_能力差距自评'!$M:$M,MATCH($D317,'02_能力差距自评'!$F:$F,0)))</f>
        <v/>
      </c>
      <c r="J317" s="8" t="str">
        <f>IF($D317="","",INDEX('02_能力差距自评'!$N:$N,MATCH($D317,'02_能力差距自评'!$F:$F,0)))</f>
        <v/>
      </c>
      <c r="K317" s="8" t="str">
        <f>IF($D317="","",INDEX('02_能力差距自评'!$O:$O,MATCH($D317,'02_能力差距自评'!$F:$F,0)))</f>
        <v/>
      </c>
      <c r="L317" s="8" t="str">
        <f>IF($D317="","",INDEX('02_能力差距自评'!$I:$I,MATCH($D317,'02_能力差距自评'!$F:$F,0)))</f>
        <v/>
      </c>
      <c r="M317" s="8" t="str">
        <f t="shared" si="8"/>
        <v/>
      </c>
      <c r="N317" s="8" t="str">
        <f>IF($D317="","",INDEX('02_能力差距自评'!$J:$J,MATCH($D317,'02_能力差距自评'!$F:$F,0)))</f>
        <v/>
      </c>
      <c r="O317" s="8" t="str">
        <f>IF($D317="","",INDEX('02_能力差距自评'!$K:$K,MATCH($D317,'02_能力差距自评'!$F:$F,0)))</f>
        <v/>
      </c>
      <c r="P317" s="8"/>
      <c r="Q317" s="8"/>
      <c r="R317" s="8"/>
      <c r="S317" s="8" t="str">
        <f t="shared" si="9"/>
        <v/>
      </c>
      <c r="T317" s="8"/>
      <c r="U317" s="8"/>
      <c r="V317" s="8"/>
    </row>
    <row r="318" spans="1:22">
      <c r="A318" s="8" t="str">
        <f>IF($D318="","","LP"&amp;TEXT(ROWS($A$2:A318),"000"))</f>
        <v/>
      </c>
      <c r="B318" s="8" t="str">
        <f>IF($D318="","",IFERROR(INDEX('02_能力差距自评'!$Q:$Q,MATCH($D318,'02_能力差距自评'!$F:$F,0)),""))</f>
        <v/>
      </c>
      <c r="C318" s="8" t="str">
        <f>IF($D318="","",IFERROR(INDEX('02_能力差距自评'!$R:$R,MATCH($D318,'02_能力差距自评'!$F:$F,0)),""))</f>
        <v/>
      </c>
      <c r="D318" s="8" t="str">
        <f>IFERROR(INDEX('02_能力差距自评'!$F$2:$F$311,MATCH(ROWS($D$2:D318),'02_能力差距自评'!$W$2:$W$311,0)),"")</f>
        <v/>
      </c>
      <c r="E318" s="8" t="str">
        <f>IF($D318="","",INDEX('02_能力差距自评'!$G:$G,MATCH($D318,'02_能力差距自评'!$F:$F,0)))</f>
        <v/>
      </c>
      <c r="F318" s="8" t="str">
        <f>IF($D318="","",INDEX('02_能力差距自评'!$C:$C,MATCH($D318,'02_能力差距自评'!$F:$F,0)))</f>
        <v/>
      </c>
      <c r="G318" s="8" t="str">
        <f>IF($D318="","",INDEX('02_能力差距自评'!$E:$E,MATCH($D318,'02_能力差距自评'!$F:$F,0)))</f>
        <v/>
      </c>
      <c r="H318" s="8" t="str">
        <f>IF($D318="","",INDEX('02_能力差距自评'!$L:$L,MATCH($D318,'02_能力差距自评'!$F:$F,0)))</f>
        <v/>
      </c>
      <c r="I318" s="8" t="str">
        <f>IF($D318="","",INDEX('02_能力差距自评'!$M:$M,MATCH($D318,'02_能力差距自评'!$F:$F,0)))</f>
        <v/>
      </c>
      <c r="J318" s="8" t="str">
        <f>IF($D318="","",INDEX('02_能力差距自评'!$N:$N,MATCH($D318,'02_能力差距自评'!$F:$F,0)))</f>
        <v/>
      </c>
      <c r="K318" s="8" t="str">
        <f>IF($D318="","",INDEX('02_能力差距自评'!$O:$O,MATCH($D318,'02_能力差距自评'!$F:$F,0)))</f>
        <v/>
      </c>
      <c r="L318" s="8" t="str">
        <f>IF($D318="","",INDEX('02_能力差距自评'!$I:$I,MATCH($D318,'02_能力差距自评'!$F:$F,0)))</f>
        <v/>
      </c>
      <c r="M318" s="8" t="str">
        <f t="shared" si="8"/>
        <v/>
      </c>
      <c r="N318" s="8" t="str">
        <f>IF($D318="","",INDEX('02_能力差距自评'!$J:$J,MATCH($D318,'02_能力差距自评'!$F:$F,0)))</f>
        <v/>
      </c>
      <c r="O318" s="8" t="str">
        <f>IF($D318="","",INDEX('02_能力差距自评'!$K:$K,MATCH($D318,'02_能力差距自评'!$F:$F,0)))</f>
        <v/>
      </c>
      <c r="P318" s="8"/>
      <c r="Q318" s="8"/>
      <c r="R318" s="8"/>
      <c r="S318" s="8" t="str">
        <f t="shared" si="9"/>
        <v/>
      </c>
      <c r="T318" s="8"/>
      <c r="U318" s="8"/>
      <c r="V318" s="8"/>
    </row>
    <row r="319" spans="1:22">
      <c r="A319" s="8" t="str">
        <f>IF($D319="","","LP"&amp;TEXT(ROWS($A$2:A319),"000"))</f>
        <v/>
      </c>
      <c r="B319" s="8" t="str">
        <f>IF($D319="","",IFERROR(INDEX('02_能力差距自评'!$Q:$Q,MATCH($D319,'02_能力差距自评'!$F:$F,0)),""))</f>
        <v/>
      </c>
      <c r="C319" s="8" t="str">
        <f>IF($D319="","",IFERROR(INDEX('02_能力差距自评'!$R:$R,MATCH($D319,'02_能力差距自评'!$F:$F,0)),""))</f>
        <v/>
      </c>
      <c r="D319" s="8" t="str">
        <f>IFERROR(INDEX('02_能力差距自评'!$F$2:$F$311,MATCH(ROWS($D$2:D319),'02_能力差距自评'!$W$2:$W$311,0)),"")</f>
        <v/>
      </c>
      <c r="E319" s="8" t="str">
        <f>IF($D319="","",INDEX('02_能力差距自评'!$G:$G,MATCH($D319,'02_能力差距自评'!$F:$F,0)))</f>
        <v/>
      </c>
      <c r="F319" s="8" t="str">
        <f>IF($D319="","",INDEX('02_能力差距自评'!$C:$C,MATCH($D319,'02_能力差距自评'!$F:$F,0)))</f>
        <v/>
      </c>
      <c r="G319" s="8" t="str">
        <f>IF($D319="","",INDEX('02_能力差距自评'!$E:$E,MATCH($D319,'02_能力差距自评'!$F:$F,0)))</f>
        <v/>
      </c>
      <c r="H319" s="8" t="str">
        <f>IF($D319="","",INDEX('02_能力差距自评'!$L:$L,MATCH($D319,'02_能力差距自评'!$F:$F,0)))</f>
        <v/>
      </c>
      <c r="I319" s="8" t="str">
        <f>IF($D319="","",INDEX('02_能力差距自评'!$M:$M,MATCH($D319,'02_能力差距自评'!$F:$F,0)))</f>
        <v/>
      </c>
      <c r="J319" s="8" t="str">
        <f>IF($D319="","",INDEX('02_能力差距自评'!$N:$N,MATCH($D319,'02_能力差距自评'!$F:$F,0)))</f>
        <v/>
      </c>
      <c r="K319" s="8" t="str">
        <f>IF($D319="","",INDEX('02_能力差距自评'!$O:$O,MATCH($D319,'02_能力差距自评'!$F:$F,0)))</f>
        <v/>
      </c>
      <c r="L319" s="8" t="str">
        <f>IF($D319="","",INDEX('02_能力差距自评'!$I:$I,MATCH($D319,'02_能力差距自评'!$F:$F,0)))</f>
        <v/>
      </c>
      <c r="M319" s="8" t="str">
        <f t="shared" si="8"/>
        <v/>
      </c>
      <c r="N319" s="8" t="str">
        <f>IF($D319="","",INDEX('02_能力差距自评'!$J:$J,MATCH($D319,'02_能力差距自评'!$F:$F,0)))</f>
        <v/>
      </c>
      <c r="O319" s="8" t="str">
        <f>IF($D319="","",INDEX('02_能力差距自评'!$K:$K,MATCH($D319,'02_能力差距自评'!$F:$F,0)))</f>
        <v/>
      </c>
      <c r="P319" s="8"/>
      <c r="Q319" s="8"/>
      <c r="R319" s="8"/>
      <c r="S319" s="8" t="str">
        <f t="shared" si="9"/>
        <v/>
      </c>
      <c r="T319" s="8"/>
      <c r="U319" s="8"/>
      <c r="V319" s="8"/>
    </row>
    <row r="320" spans="1:22">
      <c r="A320" s="8" t="str">
        <f>IF($D320="","","LP"&amp;TEXT(ROWS($A$2:A320),"000"))</f>
        <v/>
      </c>
      <c r="B320" s="8" t="str">
        <f>IF($D320="","",IFERROR(INDEX('02_能力差距自评'!$Q:$Q,MATCH($D320,'02_能力差距自评'!$F:$F,0)),""))</f>
        <v/>
      </c>
      <c r="C320" s="8" t="str">
        <f>IF($D320="","",IFERROR(INDEX('02_能力差距自评'!$R:$R,MATCH($D320,'02_能力差距自评'!$F:$F,0)),""))</f>
        <v/>
      </c>
      <c r="D320" s="8" t="str">
        <f>IFERROR(INDEX('02_能力差距自评'!$F$2:$F$311,MATCH(ROWS($D$2:D320),'02_能力差距自评'!$W$2:$W$311,0)),"")</f>
        <v/>
      </c>
      <c r="E320" s="8" t="str">
        <f>IF($D320="","",INDEX('02_能力差距自评'!$G:$G,MATCH($D320,'02_能力差距自评'!$F:$F,0)))</f>
        <v/>
      </c>
      <c r="F320" s="8" t="str">
        <f>IF($D320="","",INDEX('02_能力差距自评'!$C:$C,MATCH($D320,'02_能力差距自评'!$F:$F,0)))</f>
        <v/>
      </c>
      <c r="G320" s="8" t="str">
        <f>IF($D320="","",INDEX('02_能力差距自评'!$E:$E,MATCH($D320,'02_能力差距自评'!$F:$F,0)))</f>
        <v/>
      </c>
      <c r="H320" s="8" t="str">
        <f>IF($D320="","",INDEX('02_能力差距自评'!$L:$L,MATCH($D320,'02_能力差距自评'!$F:$F,0)))</f>
        <v/>
      </c>
      <c r="I320" s="8" t="str">
        <f>IF($D320="","",INDEX('02_能力差距自评'!$M:$M,MATCH($D320,'02_能力差距自评'!$F:$F,0)))</f>
        <v/>
      </c>
      <c r="J320" s="8" t="str">
        <f>IF($D320="","",INDEX('02_能力差距自评'!$N:$N,MATCH($D320,'02_能力差距自评'!$F:$F,0)))</f>
        <v/>
      </c>
      <c r="K320" s="8" t="str">
        <f>IF($D320="","",INDEX('02_能力差距自评'!$O:$O,MATCH($D320,'02_能力差距自评'!$F:$F,0)))</f>
        <v/>
      </c>
      <c r="L320" s="8" t="str">
        <f>IF($D320="","",INDEX('02_能力差距自评'!$I:$I,MATCH($D320,'02_能力差距自评'!$F:$F,0)))</f>
        <v/>
      </c>
      <c r="M320" s="8" t="str">
        <f t="shared" si="8"/>
        <v/>
      </c>
      <c r="N320" s="8" t="str">
        <f>IF($D320="","",INDEX('02_能力差距自评'!$J:$J,MATCH($D320,'02_能力差距自评'!$F:$F,0)))</f>
        <v/>
      </c>
      <c r="O320" s="8" t="str">
        <f>IF($D320="","",INDEX('02_能力差距自评'!$K:$K,MATCH($D320,'02_能力差距自评'!$F:$F,0)))</f>
        <v/>
      </c>
      <c r="P320" s="8"/>
      <c r="Q320" s="8"/>
      <c r="R320" s="8"/>
      <c r="S320" s="8" t="str">
        <f t="shared" si="9"/>
        <v/>
      </c>
      <c r="T320" s="8"/>
      <c r="U320" s="8"/>
      <c r="V320" s="8"/>
    </row>
    <row r="321" spans="1:22">
      <c r="A321" s="8" t="str">
        <f>IF($D321="","","LP"&amp;TEXT(ROWS($A$2:A321),"000"))</f>
        <v/>
      </c>
      <c r="B321" s="8" t="str">
        <f>IF($D321="","",IFERROR(INDEX('02_能力差距自评'!$Q:$Q,MATCH($D321,'02_能力差距自评'!$F:$F,0)),""))</f>
        <v/>
      </c>
      <c r="C321" s="8" t="str">
        <f>IF($D321="","",IFERROR(INDEX('02_能力差距自评'!$R:$R,MATCH($D321,'02_能力差距自评'!$F:$F,0)),""))</f>
        <v/>
      </c>
      <c r="D321" s="8" t="str">
        <f>IFERROR(INDEX('02_能力差距自评'!$F$2:$F$311,MATCH(ROWS($D$2:D321),'02_能力差距自评'!$W$2:$W$311,0)),"")</f>
        <v/>
      </c>
      <c r="E321" s="8" t="str">
        <f>IF($D321="","",INDEX('02_能力差距自评'!$G:$G,MATCH($D321,'02_能力差距自评'!$F:$F,0)))</f>
        <v/>
      </c>
      <c r="F321" s="8" t="str">
        <f>IF($D321="","",INDEX('02_能力差距自评'!$C:$C,MATCH($D321,'02_能力差距自评'!$F:$F,0)))</f>
        <v/>
      </c>
      <c r="G321" s="8" t="str">
        <f>IF($D321="","",INDEX('02_能力差距自评'!$E:$E,MATCH($D321,'02_能力差距自评'!$F:$F,0)))</f>
        <v/>
      </c>
      <c r="H321" s="8" t="str">
        <f>IF($D321="","",INDEX('02_能力差距自评'!$L:$L,MATCH($D321,'02_能力差距自评'!$F:$F,0)))</f>
        <v/>
      </c>
      <c r="I321" s="8" t="str">
        <f>IF($D321="","",INDEX('02_能力差距自评'!$M:$M,MATCH($D321,'02_能力差距自评'!$F:$F,0)))</f>
        <v/>
      </c>
      <c r="J321" s="8" t="str">
        <f>IF($D321="","",INDEX('02_能力差距自评'!$N:$N,MATCH($D321,'02_能力差距自评'!$F:$F,0)))</f>
        <v/>
      </c>
      <c r="K321" s="8" t="str">
        <f>IF($D321="","",INDEX('02_能力差距自评'!$O:$O,MATCH($D321,'02_能力差距自评'!$F:$F,0)))</f>
        <v/>
      </c>
      <c r="L321" s="8" t="str">
        <f>IF($D321="","",INDEX('02_能力差距自评'!$I:$I,MATCH($D321,'02_能力差距自评'!$F:$F,0)))</f>
        <v/>
      </c>
      <c r="M321" s="8" t="str">
        <f t="shared" si="8"/>
        <v/>
      </c>
      <c r="N321" s="8" t="str">
        <f>IF($D321="","",INDEX('02_能力差距自评'!$J:$J,MATCH($D321,'02_能力差距自评'!$F:$F,0)))</f>
        <v/>
      </c>
      <c r="O321" s="8" t="str">
        <f>IF($D321="","",INDEX('02_能力差距自评'!$K:$K,MATCH($D321,'02_能力差距自评'!$F:$F,0)))</f>
        <v/>
      </c>
      <c r="P321" s="8"/>
      <c r="Q321" s="8"/>
      <c r="R321" s="8"/>
      <c r="S321" s="8" t="str">
        <f t="shared" si="9"/>
        <v/>
      </c>
      <c r="T321" s="8"/>
      <c r="U321" s="8"/>
      <c r="V321" s="8"/>
    </row>
    <row r="322" spans="1:22">
      <c r="A322" s="8" t="str">
        <f>IF($D322="","","LP"&amp;TEXT(ROWS($A$2:A322),"000"))</f>
        <v/>
      </c>
      <c r="B322" s="8" t="str">
        <f>IF($D322="","",IFERROR(INDEX('02_能力差距自评'!$Q:$Q,MATCH($D322,'02_能力差距自评'!$F:$F,0)),""))</f>
        <v/>
      </c>
      <c r="C322" s="8" t="str">
        <f>IF($D322="","",IFERROR(INDEX('02_能力差距自评'!$R:$R,MATCH($D322,'02_能力差距自评'!$F:$F,0)),""))</f>
        <v/>
      </c>
      <c r="D322" s="8" t="str">
        <f>IFERROR(INDEX('02_能力差距自评'!$F$2:$F$311,MATCH(ROWS($D$2:D322),'02_能力差距自评'!$W$2:$W$311,0)),"")</f>
        <v/>
      </c>
      <c r="E322" s="8" t="str">
        <f>IF($D322="","",INDEX('02_能力差距自评'!$G:$G,MATCH($D322,'02_能力差距自评'!$F:$F,0)))</f>
        <v/>
      </c>
      <c r="F322" s="8" t="str">
        <f>IF($D322="","",INDEX('02_能力差距自评'!$C:$C,MATCH($D322,'02_能力差距自评'!$F:$F,0)))</f>
        <v/>
      </c>
      <c r="G322" s="8" t="str">
        <f>IF($D322="","",INDEX('02_能力差距自评'!$E:$E,MATCH($D322,'02_能力差距自评'!$F:$F,0)))</f>
        <v/>
      </c>
      <c r="H322" s="8" t="str">
        <f>IF($D322="","",INDEX('02_能力差距自评'!$L:$L,MATCH($D322,'02_能力差距自评'!$F:$F,0)))</f>
        <v/>
      </c>
      <c r="I322" s="8" t="str">
        <f>IF($D322="","",INDEX('02_能力差距自评'!$M:$M,MATCH($D322,'02_能力差距自评'!$F:$F,0)))</f>
        <v/>
      </c>
      <c r="J322" s="8" t="str">
        <f>IF($D322="","",INDEX('02_能力差距自评'!$N:$N,MATCH($D322,'02_能力差距自评'!$F:$F,0)))</f>
        <v/>
      </c>
      <c r="K322" s="8" t="str">
        <f>IF($D322="","",INDEX('02_能力差距自评'!$O:$O,MATCH($D322,'02_能力差距自评'!$F:$F,0)))</f>
        <v/>
      </c>
      <c r="L322" s="8" t="str">
        <f>IF($D322="","",INDEX('02_能力差距自评'!$I:$I,MATCH($D322,'02_能力差距自评'!$F:$F,0)))</f>
        <v/>
      </c>
      <c r="M322" s="8" t="str">
        <f t="shared" ref="M322:M350" si="10">IF($D322="","",$E322)</f>
        <v/>
      </c>
      <c r="N322" s="8" t="str">
        <f>IF($D322="","",INDEX('02_能力差距自评'!$J:$J,MATCH($D322,'02_能力差距自评'!$F:$F,0)))</f>
        <v/>
      </c>
      <c r="O322" s="8" t="str">
        <f>IF($D322="","",INDEX('02_能力差距自评'!$K:$K,MATCH($D322,'02_能力差距自评'!$F:$F,0)))</f>
        <v/>
      </c>
      <c r="P322" s="8"/>
      <c r="Q322" s="8"/>
      <c r="R322" s="8"/>
      <c r="S322" s="8" t="str">
        <f t="shared" ref="S322:S350" si="11">IF($D322="","","未开始")</f>
        <v/>
      </c>
      <c r="T322" s="8"/>
      <c r="U322" s="8"/>
      <c r="V322" s="8"/>
    </row>
    <row r="323" spans="1:22">
      <c r="A323" s="8" t="str">
        <f>IF($D323="","","LP"&amp;TEXT(ROWS($A$2:A323),"000"))</f>
        <v/>
      </c>
      <c r="B323" s="8" t="str">
        <f>IF($D323="","",IFERROR(INDEX('02_能力差距自评'!$Q:$Q,MATCH($D323,'02_能力差距自评'!$F:$F,0)),""))</f>
        <v/>
      </c>
      <c r="C323" s="8" t="str">
        <f>IF($D323="","",IFERROR(INDEX('02_能力差距自评'!$R:$R,MATCH($D323,'02_能力差距自评'!$F:$F,0)),""))</f>
        <v/>
      </c>
      <c r="D323" s="8" t="str">
        <f>IFERROR(INDEX('02_能力差距自评'!$F$2:$F$311,MATCH(ROWS($D$2:D323),'02_能力差距自评'!$W$2:$W$311,0)),"")</f>
        <v/>
      </c>
      <c r="E323" s="8" t="str">
        <f>IF($D323="","",INDEX('02_能力差距自评'!$G:$G,MATCH($D323,'02_能力差距自评'!$F:$F,0)))</f>
        <v/>
      </c>
      <c r="F323" s="8" t="str">
        <f>IF($D323="","",INDEX('02_能力差距自评'!$C:$C,MATCH($D323,'02_能力差距自评'!$F:$F,0)))</f>
        <v/>
      </c>
      <c r="G323" s="8" t="str">
        <f>IF($D323="","",INDEX('02_能力差距自评'!$E:$E,MATCH($D323,'02_能力差距自评'!$F:$F,0)))</f>
        <v/>
      </c>
      <c r="H323" s="8" t="str">
        <f>IF($D323="","",INDEX('02_能力差距自评'!$L:$L,MATCH($D323,'02_能力差距自评'!$F:$F,0)))</f>
        <v/>
      </c>
      <c r="I323" s="8" t="str">
        <f>IF($D323="","",INDEX('02_能力差距自评'!$M:$M,MATCH($D323,'02_能力差距自评'!$F:$F,0)))</f>
        <v/>
      </c>
      <c r="J323" s="8" t="str">
        <f>IF($D323="","",INDEX('02_能力差距自评'!$N:$N,MATCH($D323,'02_能力差距自评'!$F:$F,0)))</f>
        <v/>
      </c>
      <c r="K323" s="8" t="str">
        <f>IF($D323="","",INDEX('02_能力差距自评'!$O:$O,MATCH($D323,'02_能力差距自评'!$F:$F,0)))</f>
        <v/>
      </c>
      <c r="L323" s="8" t="str">
        <f>IF($D323="","",INDEX('02_能力差距自评'!$I:$I,MATCH($D323,'02_能力差距自评'!$F:$F,0)))</f>
        <v/>
      </c>
      <c r="M323" s="8" t="str">
        <f t="shared" si="10"/>
        <v/>
      </c>
      <c r="N323" s="8" t="str">
        <f>IF($D323="","",INDEX('02_能力差距自评'!$J:$J,MATCH($D323,'02_能力差距自评'!$F:$F,0)))</f>
        <v/>
      </c>
      <c r="O323" s="8" t="str">
        <f>IF($D323="","",INDEX('02_能力差距自评'!$K:$K,MATCH($D323,'02_能力差距自评'!$F:$F,0)))</f>
        <v/>
      </c>
      <c r="P323" s="8"/>
      <c r="Q323" s="8"/>
      <c r="R323" s="8"/>
      <c r="S323" s="8" t="str">
        <f t="shared" si="11"/>
        <v/>
      </c>
      <c r="T323" s="8"/>
      <c r="U323" s="8"/>
      <c r="V323" s="8"/>
    </row>
    <row r="324" spans="1:22">
      <c r="A324" s="8" t="str">
        <f>IF($D324="","","LP"&amp;TEXT(ROWS($A$2:A324),"000"))</f>
        <v/>
      </c>
      <c r="B324" s="8" t="str">
        <f>IF($D324="","",IFERROR(INDEX('02_能力差距自评'!$Q:$Q,MATCH($D324,'02_能力差距自评'!$F:$F,0)),""))</f>
        <v/>
      </c>
      <c r="C324" s="8" t="str">
        <f>IF($D324="","",IFERROR(INDEX('02_能力差距自评'!$R:$R,MATCH($D324,'02_能力差距自评'!$F:$F,0)),""))</f>
        <v/>
      </c>
      <c r="D324" s="8" t="str">
        <f>IFERROR(INDEX('02_能力差距自评'!$F$2:$F$311,MATCH(ROWS($D$2:D324),'02_能力差距自评'!$W$2:$W$311,0)),"")</f>
        <v/>
      </c>
      <c r="E324" s="8" t="str">
        <f>IF($D324="","",INDEX('02_能力差距自评'!$G:$G,MATCH($D324,'02_能力差距自评'!$F:$F,0)))</f>
        <v/>
      </c>
      <c r="F324" s="8" t="str">
        <f>IF($D324="","",INDEX('02_能力差距自评'!$C:$C,MATCH($D324,'02_能力差距自评'!$F:$F,0)))</f>
        <v/>
      </c>
      <c r="G324" s="8" t="str">
        <f>IF($D324="","",INDEX('02_能力差距自评'!$E:$E,MATCH($D324,'02_能力差距自评'!$F:$F,0)))</f>
        <v/>
      </c>
      <c r="H324" s="8" t="str">
        <f>IF($D324="","",INDEX('02_能力差距自评'!$L:$L,MATCH($D324,'02_能力差距自评'!$F:$F,0)))</f>
        <v/>
      </c>
      <c r="I324" s="8" t="str">
        <f>IF($D324="","",INDEX('02_能力差距自评'!$M:$M,MATCH($D324,'02_能力差距自评'!$F:$F,0)))</f>
        <v/>
      </c>
      <c r="J324" s="8" t="str">
        <f>IF($D324="","",INDEX('02_能力差距自评'!$N:$N,MATCH($D324,'02_能力差距自评'!$F:$F,0)))</f>
        <v/>
      </c>
      <c r="K324" s="8" t="str">
        <f>IF($D324="","",INDEX('02_能力差距自评'!$O:$O,MATCH($D324,'02_能力差距自评'!$F:$F,0)))</f>
        <v/>
      </c>
      <c r="L324" s="8" t="str">
        <f>IF($D324="","",INDEX('02_能力差距自评'!$I:$I,MATCH($D324,'02_能力差距自评'!$F:$F,0)))</f>
        <v/>
      </c>
      <c r="M324" s="8" t="str">
        <f t="shared" si="10"/>
        <v/>
      </c>
      <c r="N324" s="8" t="str">
        <f>IF($D324="","",INDEX('02_能力差距自评'!$J:$J,MATCH($D324,'02_能力差距自评'!$F:$F,0)))</f>
        <v/>
      </c>
      <c r="O324" s="8" t="str">
        <f>IF($D324="","",INDEX('02_能力差距自评'!$K:$K,MATCH($D324,'02_能力差距自评'!$F:$F,0)))</f>
        <v/>
      </c>
      <c r="P324" s="8"/>
      <c r="Q324" s="8"/>
      <c r="R324" s="8"/>
      <c r="S324" s="8" t="str">
        <f t="shared" si="11"/>
        <v/>
      </c>
      <c r="T324" s="8"/>
      <c r="U324" s="8"/>
      <c r="V324" s="8"/>
    </row>
    <row r="325" spans="1:22">
      <c r="A325" s="8" t="str">
        <f>IF($D325="","","LP"&amp;TEXT(ROWS($A$2:A325),"000"))</f>
        <v/>
      </c>
      <c r="B325" s="8" t="str">
        <f>IF($D325="","",IFERROR(INDEX('02_能力差距自评'!$Q:$Q,MATCH($D325,'02_能力差距自评'!$F:$F,0)),""))</f>
        <v/>
      </c>
      <c r="C325" s="8" t="str">
        <f>IF($D325="","",IFERROR(INDEX('02_能力差距自评'!$R:$R,MATCH($D325,'02_能力差距自评'!$F:$F,0)),""))</f>
        <v/>
      </c>
      <c r="D325" s="8" t="str">
        <f>IFERROR(INDEX('02_能力差距自评'!$F$2:$F$311,MATCH(ROWS($D$2:D325),'02_能力差距自评'!$W$2:$W$311,0)),"")</f>
        <v/>
      </c>
      <c r="E325" s="8" t="str">
        <f>IF($D325="","",INDEX('02_能力差距自评'!$G:$G,MATCH($D325,'02_能力差距自评'!$F:$F,0)))</f>
        <v/>
      </c>
      <c r="F325" s="8" t="str">
        <f>IF($D325="","",INDEX('02_能力差距自评'!$C:$C,MATCH($D325,'02_能力差距自评'!$F:$F,0)))</f>
        <v/>
      </c>
      <c r="G325" s="8" t="str">
        <f>IF($D325="","",INDEX('02_能力差距自评'!$E:$E,MATCH($D325,'02_能力差距自评'!$F:$F,0)))</f>
        <v/>
      </c>
      <c r="H325" s="8" t="str">
        <f>IF($D325="","",INDEX('02_能力差距自评'!$L:$L,MATCH($D325,'02_能力差距自评'!$F:$F,0)))</f>
        <v/>
      </c>
      <c r="I325" s="8" t="str">
        <f>IF($D325="","",INDEX('02_能力差距自评'!$M:$M,MATCH($D325,'02_能力差距自评'!$F:$F,0)))</f>
        <v/>
      </c>
      <c r="J325" s="8" t="str">
        <f>IF($D325="","",INDEX('02_能力差距自评'!$N:$N,MATCH($D325,'02_能力差距自评'!$F:$F,0)))</f>
        <v/>
      </c>
      <c r="K325" s="8" t="str">
        <f>IF($D325="","",INDEX('02_能力差距自评'!$O:$O,MATCH($D325,'02_能力差距自评'!$F:$F,0)))</f>
        <v/>
      </c>
      <c r="L325" s="8" t="str">
        <f>IF($D325="","",INDEX('02_能力差距自评'!$I:$I,MATCH($D325,'02_能力差距自评'!$F:$F,0)))</f>
        <v/>
      </c>
      <c r="M325" s="8" t="str">
        <f t="shared" si="10"/>
        <v/>
      </c>
      <c r="N325" s="8" t="str">
        <f>IF($D325="","",INDEX('02_能力差距自评'!$J:$J,MATCH($D325,'02_能力差距自评'!$F:$F,0)))</f>
        <v/>
      </c>
      <c r="O325" s="8" t="str">
        <f>IF($D325="","",INDEX('02_能力差距自评'!$K:$K,MATCH($D325,'02_能力差距自评'!$F:$F,0)))</f>
        <v/>
      </c>
      <c r="P325" s="8"/>
      <c r="Q325" s="8"/>
      <c r="R325" s="8"/>
      <c r="S325" s="8" t="str">
        <f t="shared" si="11"/>
        <v/>
      </c>
      <c r="T325" s="8"/>
      <c r="U325" s="8"/>
      <c r="V325" s="8"/>
    </row>
    <row r="326" spans="1:22">
      <c r="A326" s="8" t="str">
        <f>IF($D326="","","LP"&amp;TEXT(ROWS($A$2:A326),"000"))</f>
        <v/>
      </c>
      <c r="B326" s="8" t="str">
        <f>IF($D326="","",IFERROR(INDEX('02_能力差距自评'!$Q:$Q,MATCH($D326,'02_能力差距自评'!$F:$F,0)),""))</f>
        <v/>
      </c>
      <c r="C326" s="8" t="str">
        <f>IF($D326="","",IFERROR(INDEX('02_能力差距自评'!$R:$R,MATCH($D326,'02_能力差距自评'!$F:$F,0)),""))</f>
        <v/>
      </c>
      <c r="D326" s="8" t="str">
        <f>IFERROR(INDEX('02_能力差距自评'!$F$2:$F$311,MATCH(ROWS($D$2:D326),'02_能力差距自评'!$W$2:$W$311,0)),"")</f>
        <v/>
      </c>
      <c r="E326" s="8" t="str">
        <f>IF($D326="","",INDEX('02_能力差距自评'!$G:$G,MATCH($D326,'02_能力差距自评'!$F:$F,0)))</f>
        <v/>
      </c>
      <c r="F326" s="8" t="str">
        <f>IF($D326="","",INDEX('02_能力差距自评'!$C:$C,MATCH($D326,'02_能力差距自评'!$F:$F,0)))</f>
        <v/>
      </c>
      <c r="G326" s="8" t="str">
        <f>IF($D326="","",INDEX('02_能力差距自评'!$E:$E,MATCH($D326,'02_能力差距自评'!$F:$F,0)))</f>
        <v/>
      </c>
      <c r="H326" s="8" t="str">
        <f>IF($D326="","",INDEX('02_能力差距自评'!$L:$L,MATCH($D326,'02_能力差距自评'!$F:$F,0)))</f>
        <v/>
      </c>
      <c r="I326" s="8" t="str">
        <f>IF($D326="","",INDEX('02_能力差距自评'!$M:$M,MATCH($D326,'02_能力差距自评'!$F:$F,0)))</f>
        <v/>
      </c>
      <c r="J326" s="8" t="str">
        <f>IF($D326="","",INDEX('02_能力差距自评'!$N:$N,MATCH($D326,'02_能力差距自评'!$F:$F,0)))</f>
        <v/>
      </c>
      <c r="K326" s="8" t="str">
        <f>IF($D326="","",INDEX('02_能力差距自评'!$O:$O,MATCH($D326,'02_能力差距自评'!$F:$F,0)))</f>
        <v/>
      </c>
      <c r="L326" s="8" t="str">
        <f>IF($D326="","",INDEX('02_能力差距自评'!$I:$I,MATCH($D326,'02_能力差距自评'!$F:$F,0)))</f>
        <v/>
      </c>
      <c r="M326" s="8" t="str">
        <f t="shared" si="10"/>
        <v/>
      </c>
      <c r="N326" s="8" t="str">
        <f>IF($D326="","",INDEX('02_能力差距自评'!$J:$J,MATCH($D326,'02_能力差距自评'!$F:$F,0)))</f>
        <v/>
      </c>
      <c r="O326" s="8" t="str">
        <f>IF($D326="","",INDEX('02_能力差距自评'!$K:$K,MATCH($D326,'02_能力差距自评'!$F:$F,0)))</f>
        <v/>
      </c>
      <c r="P326" s="8"/>
      <c r="Q326" s="8"/>
      <c r="R326" s="8"/>
      <c r="S326" s="8" t="str">
        <f t="shared" si="11"/>
        <v/>
      </c>
      <c r="T326" s="8"/>
      <c r="U326" s="8"/>
      <c r="V326" s="8"/>
    </row>
    <row r="327" spans="1:22">
      <c r="A327" s="8" t="str">
        <f>IF($D327="","","LP"&amp;TEXT(ROWS($A$2:A327),"000"))</f>
        <v/>
      </c>
      <c r="B327" s="8" t="str">
        <f>IF($D327="","",IFERROR(INDEX('02_能力差距自评'!$Q:$Q,MATCH($D327,'02_能力差距自评'!$F:$F,0)),""))</f>
        <v/>
      </c>
      <c r="C327" s="8" t="str">
        <f>IF($D327="","",IFERROR(INDEX('02_能力差距自评'!$R:$R,MATCH($D327,'02_能力差距自评'!$F:$F,0)),""))</f>
        <v/>
      </c>
      <c r="D327" s="8" t="str">
        <f>IFERROR(INDEX('02_能力差距自评'!$F$2:$F$311,MATCH(ROWS($D$2:D327),'02_能力差距自评'!$W$2:$W$311,0)),"")</f>
        <v/>
      </c>
      <c r="E327" s="8" t="str">
        <f>IF($D327="","",INDEX('02_能力差距自评'!$G:$G,MATCH($D327,'02_能力差距自评'!$F:$F,0)))</f>
        <v/>
      </c>
      <c r="F327" s="8" t="str">
        <f>IF($D327="","",INDEX('02_能力差距自评'!$C:$C,MATCH($D327,'02_能力差距自评'!$F:$F,0)))</f>
        <v/>
      </c>
      <c r="G327" s="8" t="str">
        <f>IF($D327="","",INDEX('02_能力差距自评'!$E:$E,MATCH($D327,'02_能力差距自评'!$F:$F,0)))</f>
        <v/>
      </c>
      <c r="H327" s="8" t="str">
        <f>IF($D327="","",INDEX('02_能力差距自评'!$L:$L,MATCH($D327,'02_能力差距自评'!$F:$F,0)))</f>
        <v/>
      </c>
      <c r="I327" s="8" t="str">
        <f>IF($D327="","",INDEX('02_能力差距自评'!$M:$M,MATCH($D327,'02_能力差距自评'!$F:$F,0)))</f>
        <v/>
      </c>
      <c r="J327" s="8" t="str">
        <f>IF($D327="","",INDEX('02_能力差距自评'!$N:$N,MATCH($D327,'02_能力差距自评'!$F:$F,0)))</f>
        <v/>
      </c>
      <c r="K327" s="8" t="str">
        <f>IF($D327="","",INDEX('02_能力差距自评'!$O:$O,MATCH($D327,'02_能力差距自评'!$F:$F,0)))</f>
        <v/>
      </c>
      <c r="L327" s="8" t="str">
        <f>IF($D327="","",INDEX('02_能力差距自评'!$I:$I,MATCH($D327,'02_能力差距自评'!$F:$F,0)))</f>
        <v/>
      </c>
      <c r="M327" s="8" t="str">
        <f t="shared" si="10"/>
        <v/>
      </c>
      <c r="N327" s="8" t="str">
        <f>IF($D327="","",INDEX('02_能力差距自评'!$J:$J,MATCH($D327,'02_能力差距自评'!$F:$F,0)))</f>
        <v/>
      </c>
      <c r="O327" s="8" t="str">
        <f>IF($D327="","",INDEX('02_能力差距自评'!$K:$K,MATCH($D327,'02_能力差距自评'!$F:$F,0)))</f>
        <v/>
      </c>
      <c r="P327" s="8"/>
      <c r="Q327" s="8"/>
      <c r="R327" s="8"/>
      <c r="S327" s="8" t="str">
        <f t="shared" si="11"/>
        <v/>
      </c>
      <c r="T327" s="8"/>
      <c r="U327" s="8"/>
      <c r="V327" s="8"/>
    </row>
    <row r="328" spans="1:22">
      <c r="A328" s="8" t="str">
        <f>IF($D328="","","LP"&amp;TEXT(ROWS($A$2:A328),"000"))</f>
        <v/>
      </c>
      <c r="B328" s="8" t="str">
        <f>IF($D328="","",IFERROR(INDEX('02_能力差距自评'!$Q:$Q,MATCH($D328,'02_能力差距自评'!$F:$F,0)),""))</f>
        <v/>
      </c>
      <c r="C328" s="8" t="str">
        <f>IF($D328="","",IFERROR(INDEX('02_能力差距自评'!$R:$R,MATCH($D328,'02_能力差距自评'!$F:$F,0)),""))</f>
        <v/>
      </c>
      <c r="D328" s="8" t="str">
        <f>IFERROR(INDEX('02_能力差距自评'!$F$2:$F$311,MATCH(ROWS($D$2:D328),'02_能力差距自评'!$W$2:$W$311,0)),"")</f>
        <v/>
      </c>
      <c r="E328" s="8" t="str">
        <f>IF($D328="","",INDEX('02_能力差距自评'!$G:$G,MATCH($D328,'02_能力差距自评'!$F:$F,0)))</f>
        <v/>
      </c>
      <c r="F328" s="8" t="str">
        <f>IF($D328="","",INDEX('02_能力差距自评'!$C:$C,MATCH($D328,'02_能力差距自评'!$F:$F,0)))</f>
        <v/>
      </c>
      <c r="G328" s="8" t="str">
        <f>IF($D328="","",INDEX('02_能力差距自评'!$E:$E,MATCH($D328,'02_能力差距自评'!$F:$F,0)))</f>
        <v/>
      </c>
      <c r="H328" s="8" t="str">
        <f>IF($D328="","",INDEX('02_能力差距自评'!$L:$L,MATCH($D328,'02_能力差距自评'!$F:$F,0)))</f>
        <v/>
      </c>
      <c r="I328" s="8" t="str">
        <f>IF($D328="","",INDEX('02_能力差距自评'!$M:$M,MATCH($D328,'02_能力差距自评'!$F:$F,0)))</f>
        <v/>
      </c>
      <c r="J328" s="8" t="str">
        <f>IF($D328="","",INDEX('02_能力差距自评'!$N:$N,MATCH($D328,'02_能力差距自评'!$F:$F,0)))</f>
        <v/>
      </c>
      <c r="K328" s="8" t="str">
        <f>IF($D328="","",INDEX('02_能力差距自评'!$O:$O,MATCH($D328,'02_能力差距自评'!$F:$F,0)))</f>
        <v/>
      </c>
      <c r="L328" s="8" t="str">
        <f>IF($D328="","",INDEX('02_能力差距自评'!$I:$I,MATCH($D328,'02_能力差距自评'!$F:$F,0)))</f>
        <v/>
      </c>
      <c r="M328" s="8" t="str">
        <f t="shared" si="10"/>
        <v/>
      </c>
      <c r="N328" s="8" t="str">
        <f>IF($D328="","",INDEX('02_能力差距自评'!$J:$J,MATCH($D328,'02_能力差距自评'!$F:$F,0)))</f>
        <v/>
      </c>
      <c r="O328" s="8" t="str">
        <f>IF($D328="","",INDEX('02_能力差距自评'!$K:$K,MATCH($D328,'02_能力差距自评'!$F:$F,0)))</f>
        <v/>
      </c>
      <c r="P328" s="8"/>
      <c r="Q328" s="8"/>
      <c r="R328" s="8"/>
      <c r="S328" s="8" t="str">
        <f t="shared" si="11"/>
        <v/>
      </c>
      <c r="T328" s="8"/>
      <c r="U328" s="8"/>
      <c r="V328" s="8"/>
    </row>
    <row r="329" spans="1:22">
      <c r="A329" s="8" t="str">
        <f>IF($D329="","","LP"&amp;TEXT(ROWS($A$2:A329),"000"))</f>
        <v/>
      </c>
      <c r="B329" s="8" t="str">
        <f>IF($D329="","",IFERROR(INDEX('02_能力差距自评'!$Q:$Q,MATCH($D329,'02_能力差距自评'!$F:$F,0)),""))</f>
        <v/>
      </c>
      <c r="C329" s="8" t="str">
        <f>IF($D329="","",IFERROR(INDEX('02_能力差距自评'!$R:$R,MATCH($D329,'02_能力差距自评'!$F:$F,0)),""))</f>
        <v/>
      </c>
      <c r="D329" s="8" t="str">
        <f>IFERROR(INDEX('02_能力差距自评'!$F$2:$F$311,MATCH(ROWS($D$2:D329),'02_能力差距自评'!$W$2:$W$311,0)),"")</f>
        <v/>
      </c>
      <c r="E329" s="8" t="str">
        <f>IF($D329="","",INDEX('02_能力差距自评'!$G:$G,MATCH($D329,'02_能力差距自评'!$F:$F,0)))</f>
        <v/>
      </c>
      <c r="F329" s="8" t="str">
        <f>IF($D329="","",INDEX('02_能力差距自评'!$C:$C,MATCH($D329,'02_能力差距自评'!$F:$F,0)))</f>
        <v/>
      </c>
      <c r="G329" s="8" t="str">
        <f>IF($D329="","",INDEX('02_能力差距自评'!$E:$E,MATCH($D329,'02_能力差距自评'!$F:$F,0)))</f>
        <v/>
      </c>
      <c r="H329" s="8" t="str">
        <f>IF($D329="","",INDEX('02_能力差距自评'!$L:$L,MATCH($D329,'02_能力差距自评'!$F:$F,0)))</f>
        <v/>
      </c>
      <c r="I329" s="8" t="str">
        <f>IF($D329="","",INDEX('02_能力差距自评'!$M:$M,MATCH($D329,'02_能力差距自评'!$F:$F,0)))</f>
        <v/>
      </c>
      <c r="J329" s="8" t="str">
        <f>IF($D329="","",INDEX('02_能力差距自评'!$N:$N,MATCH($D329,'02_能力差距自评'!$F:$F,0)))</f>
        <v/>
      </c>
      <c r="K329" s="8" t="str">
        <f>IF($D329="","",INDEX('02_能力差距自评'!$O:$O,MATCH($D329,'02_能力差距自评'!$F:$F,0)))</f>
        <v/>
      </c>
      <c r="L329" s="8" t="str">
        <f>IF($D329="","",INDEX('02_能力差距自评'!$I:$I,MATCH($D329,'02_能力差距自评'!$F:$F,0)))</f>
        <v/>
      </c>
      <c r="M329" s="8" t="str">
        <f t="shared" si="10"/>
        <v/>
      </c>
      <c r="N329" s="8" t="str">
        <f>IF($D329="","",INDEX('02_能力差距自评'!$J:$J,MATCH($D329,'02_能力差距自评'!$F:$F,0)))</f>
        <v/>
      </c>
      <c r="O329" s="8" t="str">
        <f>IF($D329="","",INDEX('02_能力差距自评'!$K:$K,MATCH($D329,'02_能力差距自评'!$F:$F,0)))</f>
        <v/>
      </c>
      <c r="P329" s="8"/>
      <c r="Q329" s="8"/>
      <c r="R329" s="8"/>
      <c r="S329" s="8" t="str">
        <f t="shared" si="11"/>
        <v/>
      </c>
      <c r="T329" s="8"/>
      <c r="U329" s="8"/>
      <c r="V329" s="8"/>
    </row>
    <row r="330" spans="1:22">
      <c r="A330" s="8" t="str">
        <f>IF($D330="","","LP"&amp;TEXT(ROWS($A$2:A330),"000"))</f>
        <v/>
      </c>
      <c r="B330" s="8" t="str">
        <f>IF($D330="","",IFERROR(INDEX('02_能力差距自评'!$Q:$Q,MATCH($D330,'02_能力差距自评'!$F:$F,0)),""))</f>
        <v/>
      </c>
      <c r="C330" s="8" t="str">
        <f>IF($D330="","",IFERROR(INDEX('02_能力差距自评'!$R:$R,MATCH($D330,'02_能力差距自评'!$F:$F,0)),""))</f>
        <v/>
      </c>
      <c r="D330" s="8" t="str">
        <f>IFERROR(INDEX('02_能力差距自评'!$F$2:$F$311,MATCH(ROWS($D$2:D330),'02_能力差距自评'!$W$2:$W$311,0)),"")</f>
        <v/>
      </c>
      <c r="E330" s="8" t="str">
        <f>IF($D330="","",INDEX('02_能力差距自评'!$G:$G,MATCH($D330,'02_能力差距自评'!$F:$F,0)))</f>
        <v/>
      </c>
      <c r="F330" s="8" t="str">
        <f>IF($D330="","",INDEX('02_能力差距自评'!$C:$C,MATCH($D330,'02_能力差距自评'!$F:$F,0)))</f>
        <v/>
      </c>
      <c r="G330" s="8" t="str">
        <f>IF($D330="","",INDEX('02_能力差距自评'!$E:$E,MATCH($D330,'02_能力差距自评'!$F:$F,0)))</f>
        <v/>
      </c>
      <c r="H330" s="8" t="str">
        <f>IF($D330="","",INDEX('02_能力差距自评'!$L:$L,MATCH($D330,'02_能力差距自评'!$F:$F,0)))</f>
        <v/>
      </c>
      <c r="I330" s="8" t="str">
        <f>IF($D330="","",INDEX('02_能力差距自评'!$M:$M,MATCH($D330,'02_能力差距自评'!$F:$F,0)))</f>
        <v/>
      </c>
      <c r="J330" s="8" t="str">
        <f>IF($D330="","",INDEX('02_能力差距自评'!$N:$N,MATCH($D330,'02_能力差距自评'!$F:$F,0)))</f>
        <v/>
      </c>
      <c r="K330" s="8" t="str">
        <f>IF($D330="","",INDEX('02_能力差距自评'!$O:$O,MATCH($D330,'02_能力差距自评'!$F:$F,0)))</f>
        <v/>
      </c>
      <c r="L330" s="8" t="str">
        <f>IF($D330="","",INDEX('02_能力差距自评'!$I:$I,MATCH($D330,'02_能力差距自评'!$F:$F,0)))</f>
        <v/>
      </c>
      <c r="M330" s="8" t="str">
        <f t="shared" si="10"/>
        <v/>
      </c>
      <c r="N330" s="8" t="str">
        <f>IF($D330="","",INDEX('02_能力差距自评'!$J:$J,MATCH($D330,'02_能力差距自评'!$F:$F,0)))</f>
        <v/>
      </c>
      <c r="O330" s="8" t="str">
        <f>IF($D330="","",INDEX('02_能力差距自评'!$K:$K,MATCH($D330,'02_能力差距自评'!$F:$F,0)))</f>
        <v/>
      </c>
      <c r="P330" s="8"/>
      <c r="Q330" s="8"/>
      <c r="R330" s="8"/>
      <c r="S330" s="8" t="str">
        <f t="shared" si="11"/>
        <v/>
      </c>
      <c r="T330" s="8"/>
      <c r="U330" s="8"/>
      <c r="V330" s="8"/>
    </row>
    <row r="331" spans="1:22">
      <c r="A331" s="8" t="str">
        <f>IF($D331="","","LP"&amp;TEXT(ROWS($A$2:A331),"000"))</f>
        <v/>
      </c>
      <c r="B331" s="8" t="str">
        <f>IF($D331="","",IFERROR(INDEX('02_能力差距自评'!$Q:$Q,MATCH($D331,'02_能力差距自评'!$F:$F,0)),""))</f>
        <v/>
      </c>
      <c r="C331" s="8" t="str">
        <f>IF($D331="","",IFERROR(INDEX('02_能力差距自评'!$R:$R,MATCH($D331,'02_能力差距自评'!$F:$F,0)),""))</f>
        <v/>
      </c>
      <c r="D331" s="8" t="str">
        <f>IFERROR(INDEX('02_能力差距自评'!$F$2:$F$311,MATCH(ROWS($D$2:D331),'02_能力差距自评'!$W$2:$W$311,0)),"")</f>
        <v/>
      </c>
      <c r="E331" s="8" t="str">
        <f>IF($D331="","",INDEX('02_能力差距自评'!$G:$G,MATCH($D331,'02_能力差距自评'!$F:$F,0)))</f>
        <v/>
      </c>
      <c r="F331" s="8" t="str">
        <f>IF($D331="","",INDEX('02_能力差距自评'!$C:$C,MATCH($D331,'02_能力差距自评'!$F:$F,0)))</f>
        <v/>
      </c>
      <c r="G331" s="8" t="str">
        <f>IF($D331="","",INDEX('02_能力差距自评'!$E:$E,MATCH($D331,'02_能力差距自评'!$F:$F,0)))</f>
        <v/>
      </c>
      <c r="H331" s="8" t="str">
        <f>IF($D331="","",INDEX('02_能力差距自评'!$L:$L,MATCH($D331,'02_能力差距自评'!$F:$F,0)))</f>
        <v/>
      </c>
      <c r="I331" s="8" t="str">
        <f>IF($D331="","",INDEX('02_能力差距自评'!$M:$M,MATCH($D331,'02_能力差距自评'!$F:$F,0)))</f>
        <v/>
      </c>
      <c r="J331" s="8" t="str">
        <f>IF($D331="","",INDEX('02_能力差距自评'!$N:$N,MATCH($D331,'02_能力差距自评'!$F:$F,0)))</f>
        <v/>
      </c>
      <c r="K331" s="8" t="str">
        <f>IF($D331="","",INDEX('02_能力差距自评'!$O:$O,MATCH($D331,'02_能力差距自评'!$F:$F,0)))</f>
        <v/>
      </c>
      <c r="L331" s="8" t="str">
        <f>IF($D331="","",INDEX('02_能力差距自评'!$I:$I,MATCH($D331,'02_能力差距自评'!$F:$F,0)))</f>
        <v/>
      </c>
      <c r="M331" s="8" t="str">
        <f t="shared" si="10"/>
        <v/>
      </c>
      <c r="N331" s="8" t="str">
        <f>IF($D331="","",INDEX('02_能力差距自评'!$J:$J,MATCH($D331,'02_能力差距自评'!$F:$F,0)))</f>
        <v/>
      </c>
      <c r="O331" s="8" t="str">
        <f>IF($D331="","",INDEX('02_能力差距自评'!$K:$K,MATCH($D331,'02_能力差距自评'!$F:$F,0)))</f>
        <v/>
      </c>
      <c r="P331" s="8"/>
      <c r="Q331" s="8"/>
      <c r="R331" s="8"/>
      <c r="S331" s="8" t="str">
        <f t="shared" si="11"/>
        <v/>
      </c>
      <c r="T331" s="8"/>
      <c r="U331" s="8"/>
      <c r="V331" s="8"/>
    </row>
    <row r="332" spans="1:22">
      <c r="A332" s="8" t="str">
        <f>IF($D332="","","LP"&amp;TEXT(ROWS($A$2:A332),"000"))</f>
        <v/>
      </c>
      <c r="B332" s="8" t="str">
        <f>IF($D332="","",IFERROR(INDEX('02_能力差距自评'!$Q:$Q,MATCH($D332,'02_能力差距自评'!$F:$F,0)),""))</f>
        <v/>
      </c>
      <c r="C332" s="8" t="str">
        <f>IF($D332="","",IFERROR(INDEX('02_能力差距自评'!$R:$R,MATCH($D332,'02_能力差距自评'!$F:$F,0)),""))</f>
        <v/>
      </c>
      <c r="D332" s="8" t="str">
        <f>IFERROR(INDEX('02_能力差距自评'!$F$2:$F$311,MATCH(ROWS($D$2:D332),'02_能力差距自评'!$W$2:$W$311,0)),"")</f>
        <v/>
      </c>
      <c r="E332" s="8" t="str">
        <f>IF($D332="","",INDEX('02_能力差距自评'!$G:$G,MATCH($D332,'02_能力差距自评'!$F:$F,0)))</f>
        <v/>
      </c>
      <c r="F332" s="8" t="str">
        <f>IF($D332="","",INDEX('02_能力差距自评'!$C:$C,MATCH($D332,'02_能力差距自评'!$F:$F,0)))</f>
        <v/>
      </c>
      <c r="G332" s="8" t="str">
        <f>IF($D332="","",INDEX('02_能力差距自评'!$E:$E,MATCH($D332,'02_能力差距自评'!$F:$F,0)))</f>
        <v/>
      </c>
      <c r="H332" s="8" t="str">
        <f>IF($D332="","",INDEX('02_能力差距自评'!$L:$L,MATCH($D332,'02_能力差距自评'!$F:$F,0)))</f>
        <v/>
      </c>
      <c r="I332" s="8" t="str">
        <f>IF($D332="","",INDEX('02_能力差距自评'!$M:$M,MATCH($D332,'02_能力差距自评'!$F:$F,0)))</f>
        <v/>
      </c>
      <c r="J332" s="8" t="str">
        <f>IF($D332="","",INDEX('02_能力差距自评'!$N:$N,MATCH($D332,'02_能力差距自评'!$F:$F,0)))</f>
        <v/>
      </c>
      <c r="K332" s="8" t="str">
        <f>IF($D332="","",INDEX('02_能力差距自评'!$O:$O,MATCH($D332,'02_能力差距自评'!$F:$F,0)))</f>
        <v/>
      </c>
      <c r="L332" s="8" t="str">
        <f>IF($D332="","",INDEX('02_能力差距自评'!$I:$I,MATCH($D332,'02_能力差距自评'!$F:$F,0)))</f>
        <v/>
      </c>
      <c r="M332" s="8" t="str">
        <f t="shared" si="10"/>
        <v/>
      </c>
      <c r="N332" s="8" t="str">
        <f>IF($D332="","",INDEX('02_能力差距自评'!$J:$J,MATCH($D332,'02_能力差距自评'!$F:$F,0)))</f>
        <v/>
      </c>
      <c r="O332" s="8" t="str">
        <f>IF($D332="","",INDEX('02_能力差距自评'!$K:$K,MATCH($D332,'02_能力差距自评'!$F:$F,0)))</f>
        <v/>
      </c>
      <c r="P332" s="8"/>
      <c r="Q332" s="8"/>
      <c r="R332" s="8"/>
      <c r="S332" s="8" t="str">
        <f t="shared" si="11"/>
        <v/>
      </c>
      <c r="T332" s="8"/>
      <c r="U332" s="8"/>
      <c r="V332" s="8"/>
    </row>
    <row r="333" spans="1:22">
      <c r="A333" s="8" t="str">
        <f>IF($D333="","","LP"&amp;TEXT(ROWS($A$2:A333),"000"))</f>
        <v/>
      </c>
      <c r="B333" s="8" t="str">
        <f>IF($D333="","",IFERROR(INDEX('02_能力差距自评'!$Q:$Q,MATCH($D333,'02_能力差距自评'!$F:$F,0)),""))</f>
        <v/>
      </c>
      <c r="C333" s="8" t="str">
        <f>IF($D333="","",IFERROR(INDEX('02_能力差距自评'!$R:$R,MATCH($D333,'02_能力差距自评'!$F:$F,0)),""))</f>
        <v/>
      </c>
      <c r="D333" s="8" t="str">
        <f>IFERROR(INDEX('02_能力差距自评'!$F$2:$F$311,MATCH(ROWS($D$2:D333),'02_能力差距自评'!$W$2:$W$311,0)),"")</f>
        <v/>
      </c>
      <c r="E333" s="8" t="str">
        <f>IF($D333="","",INDEX('02_能力差距自评'!$G:$G,MATCH($D333,'02_能力差距自评'!$F:$F,0)))</f>
        <v/>
      </c>
      <c r="F333" s="8" t="str">
        <f>IF($D333="","",INDEX('02_能力差距自评'!$C:$C,MATCH($D333,'02_能力差距自评'!$F:$F,0)))</f>
        <v/>
      </c>
      <c r="G333" s="8" t="str">
        <f>IF($D333="","",INDEX('02_能力差距自评'!$E:$E,MATCH($D333,'02_能力差距自评'!$F:$F,0)))</f>
        <v/>
      </c>
      <c r="H333" s="8" t="str">
        <f>IF($D333="","",INDEX('02_能力差距自评'!$L:$L,MATCH($D333,'02_能力差距自评'!$F:$F,0)))</f>
        <v/>
      </c>
      <c r="I333" s="8" t="str">
        <f>IF($D333="","",INDEX('02_能力差距自评'!$M:$M,MATCH($D333,'02_能力差距自评'!$F:$F,0)))</f>
        <v/>
      </c>
      <c r="J333" s="8" t="str">
        <f>IF($D333="","",INDEX('02_能力差距自评'!$N:$N,MATCH($D333,'02_能力差距自评'!$F:$F,0)))</f>
        <v/>
      </c>
      <c r="K333" s="8" t="str">
        <f>IF($D333="","",INDEX('02_能力差距自评'!$O:$O,MATCH($D333,'02_能力差距自评'!$F:$F,0)))</f>
        <v/>
      </c>
      <c r="L333" s="8" t="str">
        <f>IF($D333="","",INDEX('02_能力差距自评'!$I:$I,MATCH($D333,'02_能力差距自评'!$F:$F,0)))</f>
        <v/>
      </c>
      <c r="M333" s="8" t="str">
        <f t="shared" si="10"/>
        <v/>
      </c>
      <c r="N333" s="8" t="str">
        <f>IF($D333="","",INDEX('02_能力差距自评'!$J:$J,MATCH($D333,'02_能力差距自评'!$F:$F,0)))</f>
        <v/>
      </c>
      <c r="O333" s="8" t="str">
        <f>IF($D333="","",INDEX('02_能力差距自评'!$K:$K,MATCH($D333,'02_能力差距自评'!$F:$F,0)))</f>
        <v/>
      </c>
      <c r="P333" s="8"/>
      <c r="Q333" s="8"/>
      <c r="R333" s="8"/>
      <c r="S333" s="8" t="str">
        <f t="shared" si="11"/>
        <v/>
      </c>
      <c r="T333" s="8"/>
      <c r="U333" s="8"/>
      <c r="V333" s="8"/>
    </row>
    <row r="334" spans="1:22">
      <c r="A334" s="8" t="str">
        <f>IF($D334="","","LP"&amp;TEXT(ROWS($A$2:A334),"000"))</f>
        <v/>
      </c>
      <c r="B334" s="8" t="str">
        <f>IF($D334="","",IFERROR(INDEX('02_能力差距自评'!$Q:$Q,MATCH($D334,'02_能力差距自评'!$F:$F,0)),""))</f>
        <v/>
      </c>
      <c r="C334" s="8" t="str">
        <f>IF($D334="","",IFERROR(INDEX('02_能力差距自评'!$R:$R,MATCH($D334,'02_能力差距自评'!$F:$F,0)),""))</f>
        <v/>
      </c>
      <c r="D334" s="8" t="str">
        <f>IFERROR(INDEX('02_能力差距自评'!$F$2:$F$311,MATCH(ROWS($D$2:D334),'02_能力差距自评'!$W$2:$W$311,0)),"")</f>
        <v/>
      </c>
      <c r="E334" s="8" t="str">
        <f>IF($D334="","",INDEX('02_能力差距自评'!$G:$G,MATCH($D334,'02_能力差距自评'!$F:$F,0)))</f>
        <v/>
      </c>
      <c r="F334" s="8" t="str">
        <f>IF($D334="","",INDEX('02_能力差距自评'!$C:$C,MATCH($D334,'02_能力差距自评'!$F:$F,0)))</f>
        <v/>
      </c>
      <c r="G334" s="8" t="str">
        <f>IF($D334="","",INDEX('02_能力差距自评'!$E:$E,MATCH($D334,'02_能力差距自评'!$F:$F,0)))</f>
        <v/>
      </c>
      <c r="H334" s="8" t="str">
        <f>IF($D334="","",INDEX('02_能力差距自评'!$L:$L,MATCH($D334,'02_能力差距自评'!$F:$F,0)))</f>
        <v/>
      </c>
      <c r="I334" s="8" t="str">
        <f>IF($D334="","",INDEX('02_能力差距自评'!$M:$M,MATCH($D334,'02_能力差距自评'!$F:$F,0)))</f>
        <v/>
      </c>
      <c r="J334" s="8" t="str">
        <f>IF($D334="","",INDEX('02_能力差距自评'!$N:$N,MATCH($D334,'02_能力差距自评'!$F:$F,0)))</f>
        <v/>
      </c>
      <c r="K334" s="8" t="str">
        <f>IF($D334="","",INDEX('02_能力差距自评'!$O:$O,MATCH($D334,'02_能力差距自评'!$F:$F,0)))</f>
        <v/>
      </c>
      <c r="L334" s="8" t="str">
        <f>IF($D334="","",INDEX('02_能力差距自评'!$I:$I,MATCH($D334,'02_能力差距自评'!$F:$F,0)))</f>
        <v/>
      </c>
      <c r="M334" s="8" t="str">
        <f t="shared" si="10"/>
        <v/>
      </c>
      <c r="N334" s="8" t="str">
        <f>IF($D334="","",INDEX('02_能力差距自评'!$J:$J,MATCH($D334,'02_能力差距自评'!$F:$F,0)))</f>
        <v/>
      </c>
      <c r="O334" s="8" t="str">
        <f>IF($D334="","",INDEX('02_能力差距自评'!$K:$K,MATCH($D334,'02_能力差距自评'!$F:$F,0)))</f>
        <v/>
      </c>
      <c r="P334" s="8"/>
      <c r="Q334" s="8"/>
      <c r="R334" s="8"/>
      <c r="S334" s="8" t="str">
        <f t="shared" si="11"/>
        <v/>
      </c>
      <c r="T334" s="8"/>
      <c r="U334" s="8"/>
      <c r="V334" s="8"/>
    </row>
    <row r="335" spans="1:22">
      <c r="A335" s="8" t="str">
        <f>IF($D335="","","LP"&amp;TEXT(ROWS($A$2:A335),"000"))</f>
        <v/>
      </c>
      <c r="B335" s="8" t="str">
        <f>IF($D335="","",IFERROR(INDEX('02_能力差距自评'!$Q:$Q,MATCH($D335,'02_能力差距自评'!$F:$F,0)),""))</f>
        <v/>
      </c>
      <c r="C335" s="8" t="str">
        <f>IF($D335="","",IFERROR(INDEX('02_能力差距自评'!$R:$R,MATCH($D335,'02_能力差距自评'!$F:$F,0)),""))</f>
        <v/>
      </c>
      <c r="D335" s="8" t="str">
        <f>IFERROR(INDEX('02_能力差距自评'!$F$2:$F$311,MATCH(ROWS($D$2:D335),'02_能力差距自评'!$W$2:$W$311,0)),"")</f>
        <v/>
      </c>
      <c r="E335" s="8" t="str">
        <f>IF($D335="","",INDEX('02_能力差距自评'!$G:$G,MATCH($D335,'02_能力差距自评'!$F:$F,0)))</f>
        <v/>
      </c>
      <c r="F335" s="8" t="str">
        <f>IF($D335="","",INDEX('02_能力差距自评'!$C:$C,MATCH($D335,'02_能力差距自评'!$F:$F,0)))</f>
        <v/>
      </c>
      <c r="G335" s="8" t="str">
        <f>IF($D335="","",INDEX('02_能力差距自评'!$E:$E,MATCH($D335,'02_能力差距自评'!$F:$F,0)))</f>
        <v/>
      </c>
      <c r="H335" s="8" t="str">
        <f>IF($D335="","",INDEX('02_能力差距自评'!$L:$L,MATCH($D335,'02_能力差距自评'!$F:$F,0)))</f>
        <v/>
      </c>
      <c r="I335" s="8" t="str">
        <f>IF($D335="","",INDEX('02_能力差距自评'!$M:$M,MATCH($D335,'02_能力差距自评'!$F:$F,0)))</f>
        <v/>
      </c>
      <c r="J335" s="8" t="str">
        <f>IF($D335="","",INDEX('02_能力差距自评'!$N:$N,MATCH($D335,'02_能力差距自评'!$F:$F,0)))</f>
        <v/>
      </c>
      <c r="K335" s="8" t="str">
        <f>IF($D335="","",INDEX('02_能力差距自评'!$O:$O,MATCH($D335,'02_能力差距自评'!$F:$F,0)))</f>
        <v/>
      </c>
      <c r="L335" s="8" t="str">
        <f>IF($D335="","",INDEX('02_能力差距自评'!$I:$I,MATCH($D335,'02_能力差距自评'!$F:$F,0)))</f>
        <v/>
      </c>
      <c r="M335" s="8" t="str">
        <f t="shared" si="10"/>
        <v/>
      </c>
      <c r="N335" s="8" t="str">
        <f>IF($D335="","",INDEX('02_能力差距自评'!$J:$J,MATCH($D335,'02_能力差距自评'!$F:$F,0)))</f>
        <v/>
      </c>
      <c r="O335" s="8" t="str">
        <f>IF($D335="","",INDEX('02_能力差距自评'!$K:$K,MATCH($D335,'02_能力差距自评'!$F:$F,0)))</f>
        <v/>
      </c>
      <c r="P335" s="8"/>
      <c r="Q335" s="8"/>
      <c r="R335" s="8"/>
      <c r="S335" s="8" t="str">
        <f t="shared" si="11"/>
        <v/>
      </c>
      <c r="T335" s="8"/>
      <c r="U335" s="8"/>
      <c r="V335" s="8"/>
    </row>
    <row r="336" spans="1:22">
      <c r="A336" s="8" t="str">
        <f>IF($D336="","","LP"&amp;TEXT(ROWS($A$2:A336),"000"))</f>
        <v/>
      </c>
      <c r="B336" s="8" t="str">
        <f>IF($D336="","",IFERROR(INDEX('02_能力差距自评'!$Q:$Q,MATCH($D336,'02_能力差距自评'!$F:$F,0)),""))</f>
        <v/>
      </c>
      <c r="C336" s="8" t="str">
        <f>IF($D336="","",IFERROR(INDEX('02_能力差距自评'!$R:$R,MATCH($D336,'02_能力差距自评'!$F:$F,0)),""))</f>
        <v/>
      </c>
      <c r="D336" s="8" t="str">
        <f>IFERROR(INDEX('02_能力差距自评'!$F$2:$F$311,MATCH(ROWS($D$2:D336),'02_能力差距自评'!$W$2:$W$311,0)),"")</f>
        <v/>
      </c>
      <c r="E336" s="8" t="str">
        <f>IF($D336="","",INDEX('02_能力差距自评'!$G:$G,MATCH($D336,'02_能力差距自评'!$F:$F,0)))</f>
        <v/>
      </c>
      <c r="F336" s="8" t="str">
        <f>IF($D336="","",INDEX('02_能力差距自评'!$C:$C,MATCH($D336,'02_能力差距自评'!$F:$F,0)))</f>
        <v/>
      </c>
      <c r="G336" s="8" t="str">
        <f>IF($D336="","",INDEX('02_能力差距自评'!$E:$E,MATCH($D336,'02_能力差距自评'!$F:$F,0)))</f>
        <v/>
      </c>
      <c r="H336" s="8" t="str">
        <f>IF($D336="","",INDEX('02_能力差距自评'!$L:$L,MATCH($D336,'02_能力差距自评'!$F:$F,0)))</f>
        <v/>
      </c>
      <c r="I336" s="8" t="str">
        <f>IF($D336="","",INDEX('02_能力差距自评'!$M:$M,MATCH($D336,'02_能力差距自评'!$F:$F,0)))</f>
        <v/>
      </c>
      <c r="J336" s="8" t="str">
        <f>IF($D336="","",INDEX('02_能力差距自评'!$N:$N,MATCH($D336,'02_能力差距自评'!$F:$F,0)))</f>
        <v/>
      </c>
      <c r="K336" s="8" t="str">
        <f>IF($D336="","",INDEX('02_能力差距自评'!$O:$O,MATCH($D336,'02_能力差距自评'!$F:$F,0)))</f>
        <v/>
      </c>
      <c r="L336" s="8" t="str">
        <f>IF($D336="","",INDEX('02_能力差距自评'!$I:$I,MATCH($D336,'02_能力差距自评'!$F:$F,0)))</f>
        <v/>
      </c>
      <c r="M336" s="8" t="str">
        <f t="shared" si="10"/>
        <v/>
      </c>
      <c r="N336" s="8" t="str">
        <f>IF($D336="","",INDEX('02_能力差距自评'!$J:$J,MATCH($D336,'02_能力差距自评'!$F:$F,0)))</f>
        <v/>
      </c>
      <c r="O336" s="8" t="str">
        <f>IF($D336="","",INDEX('02_能力差距自评'!$K:$K,MATCH($D336,'02_能力差距自评'!$F:$F,0)))</f>
        <v/>
      </c>
      <c r="P336" s="8"/>
      <c r="Q336" s="8"/>
      <c r="R336" s="8"/>
      <c r="S336" s="8" t="str">
        <f t="shared" si="11"/>
        <v/>
      </c>
      <c r="T336" s="8"/>
      <c r="U336" s="8"/>
      <c r="V336" s="8"/>
    </row>
    <row r="337" spans="1:22">
      <c r="A337" s="8" t="str">
        <f>IF($D337="","","LP"&amp;TEXT(ROWS($A$2:A337),"000"))</f>
        <v/>
      </c>
      <c r="B337" s="8" t="str">
        <f>IF($D337="","",IFERROR(INDEX('02_能力差距自评'!$Q:$Q,MATCH($D337,'02_能力差距自评'!$F:$F,0)),""))</f>
        <v/>
      </c>
      <c r="C337" s="8" t="str">
        <f>IF($D337="","",IFERROR(INDEX('02_能力差距自评'!$R:$R,MATCH($D337,'02_能力差距自评'!$F:$F,0)),""))</f>
        <v/>
      </c>
      <c r="D337" s="8" t="str">
        <f>IFERROR(INDEX('02_能力差距自评'!$F$2:$F$311,MATCH(ROWS($D$2:D337),'02_能力差距自评'!$W$2:$W$311,0)),"")</f>
        <v/>
      </c>
      <c r="E337" s="8" t="str">
        <f>IF($D337="","",INDEX('02_能力差距自评'!$G:$G,MATCH($D337,'02_能力差距自评'!$F:$F,0)))</f>
        <v/>
      </c>
      <c r="F337" s="8" t="str">
        <f>IF($D337="","",INDEX('02_能力差距自评'!$C:$C,MATCH($D337,'02_能力差距自评'!$F:$F,0)))</f>
        <v/>
      </c>
      <c r="G337" s="8" t="str">
        <f>IF($D337="","",INDEX('02_能力差距自评'!$E:$E,MATCH($D337,'02_能力差距自评'!$F:$F,0)))</f>
        <v/>
      </c>
      <c r="H337" s="8" t="str">
        <f>IF($D337="","",INDEX('02_能力差距自评'!$L:$L,MATCH($D337,'02_能力差距自评'!$F:$F,0)))</f>
        <v/>
      </c>
      <c r="I337" s="8" t="str">
        <f>IF($D337="","",INDEX('02_能力差距自评'!$M:$M,MATCH($D337,'02_能力差距自评'!$F:$F,0)))</f>
        <v/>
      </c>
      <c r="J337" s="8" t="str">
        <f>IF($D337="","",INDEX('02_能力差距自评'!$N:$N,MATCH($D337,'02_能力差距自评'!$F:$F,0)))</f>
        <v/>
      </c>
      <c r="K337" s="8" t="str">
        <f>IF($D337="","",INDEX('02_能力差距自评'!$O:$O,MATCH($D337,'02_能力差距自评'!$F:$F,0)))</f>
        <v/>
      </c>
      <c r="L337" s="8" t="str">
        <f>IF($D337="","",INDEX('02_能力差距自评'!$I:$I,MATCH($D337,'02_能力差距自评'!$F:$F,0)))</f>
        <v/>
      </c>
      <c r="M337" s="8" t="str">
        <f t="shared" si="10"/>
        <v/>
      </c>
      <c r="N337" s="8" t="str">
        <f>IF($D337="","",INDEX('02_能力差距自评'!$J:$J,MATCH($D337,'02_能力差距自评'!$F:$F,0)))</f>
        <v/>
      </c>
      <c r="O337" s="8" t="str">
        <f>IF($D337="","",INDEX('02_能力差距自评'!$K:$K,MATCH($D337,'02_能力差距自评'!$F:$F,0)))</f>
        <v/>
      </c>
      <c r="P337" s="8"/>
      <c r="Q337" s="8"/>
      <c r="R337" s="8"/>
      <c r="S337" s="8" t="str">
        <f t="shared" si="11"/>
        <v/>
      </c>
      <c r="T337" s="8"/>
      <c r="U337" s="8"/>
      <c r="V337" s="8"/>
    </row>
    <row r="338" spans="1:22">
      <c r="A338" s="8" t="str">
        <f>IF($D338="","","LP"&amp;TEXT(ROWS($A$2:A338),"000"))</f>
        <v/>
      </c>
      <c r="B338" s="8" t="str">
        <f>IF($D338="","",IFERROR(INDEX('02_能力差距自评'!$Q:$Q,MATCH($D338,'02_能力差距自评'!$F:$F,0)),""))</f>
        <v/>
      </c>
      <c r="C338" s="8" t="str">
        <f>IF($D338="","",IFERROR(INDEX('02_能力差距自评'!$R:$R,MATCH($D338,'02_能力差距自评'!$F:$F,0)),""))</f>
        <v/>
      </c>
      <c r="D338" s="8" t="str">
        <f>IFERROR(INDEX('02_能力差距自评'!$F$2:$F$311,MATCH(ROWS($D$2:D338),'02_能力差距自评'!$W$2:$W$311,0)),"")</f>
        <v/>
      </c>
      <c r="E338" s="8" t="str">
        <f>IF($D338="","",INDEX('02_能力差距自评'!$G:$G,MATCH($D338,'02_能力差距自评'!$F:$F,0)))</f>
        <v/>
      </c>
      <c r="F338" s="8" t="str">
        <f>IF($D338="","",INDEX('02_能力差距自评'!$C:$C,MATCH($D338,'02_能力差距自评'!$F:$F,0)))</f>
        <v/>
      </c>
      <c r="G338" s="8" t="str">
        <f>IF($D338="","",INDEX('02_能力差距自评'!$E:$E,MATCH($D338,'02_能力差距自评'!$F:$F,0)))</f>
        <v/>
      </c>
      <c r="H338" s="8" t="str">
        <f>IF($D338="","",INDEX('02_能力差距自评'!$L:$L,MATCH($D338,'02_能力差距自评'!$F:$F,0)))</f>
        <v/>
      </c>
      <c r="I338" s="8" t="str">
        <f>IF($D338="","",INDEX('02_能力差距自评'!$M:$M,MATCH($D338,'02_能力差距自评'!$F:$F,0)))</f>
        <v/>
      </c>
      <c r="J338" s="8" t="str">
        <f>IF($D338="","",INDEX('02_能力差距自评'!$N:$N,MATCH($D338,'02_能力差距自评'!$F:$F,0)))</f>
        <v/>
      </c>
      <c r="K338" s="8" t="str">
        <f>IF($D338="","",INDEX('02_能力差距自评'!$O:$O,MATCH($D338,'02_能力差距自评'!$F:$F,0)))</f>
        <v/>
      </c>
      <c r="L338" s="8" t="str">
        <f>IF($D338="","",INDEX('02_能力差距自评'!$I:$I,MATCH($D338,'02_能力差距自评'!$F:$F,0)))</f>
        <v/>
      </c>
      <c r="M338" s="8" t="str">
        <f t="shared" si="10"/>
        <v/>
      </c>
      <c r="N338" s="8" t="str">
        <f>IF($D338="","",INDEX('02_能力差距自评'!$J:$J,MATCH($D338,'02_能力差距自评'!$F:$F,0)))</f>
        <v/>
      </c>
      <c r="O338" s="8" t="str">
        <f>IF($D338="","",INDEX('02_能力差距自评'!$K:$K,MATCH($D338,'02_能力差距自评'!$F:$F,0)))</f>
        <v/>
      </c>
      <c r="P338" s="8"/>
      <c r="Q338" s="8"/>
      <c r="R338" s="8"/>
      <c r="S338" s="8" t="str">
        <f t="shared" si="11"/>
        <v/>
      </c>
      <c r="T338" s="8"/>
      <c r="U338" s="8"/>
      <c r="V338" s="8"/>
    </row>
    <row r="339" spans="1:22">
      <c r="A339" s="8" t="str">
        <f>IF($D339="","","LP"&amp;TEXT(ROWS($A$2:A339),"000"))</f>
        <v/>
      </c>
      <c r="B339" s="8" t="str">
        <f>IF($D339="","",IFERROR(INDEX('02_能力差距自评'!$Q:$Q,MATCH($D339,'02_能力差距自评'!$F:$F,0)),""))</f>
        <v/>
      </c>
      <c r="C339" s="8" t="str">
        <f>IF($D339="","",IFERROR(INDEX('02_能力差距自评'!$R:$R,MATCH($D339,'02_能力差距自评'!$F:$F,0)),""))</f>
        <v/>
      </c>
      <c r="D339" s="8" t="str">
        <f>IFERROR(INDEX('02_能力差距自评'!$F$2:$F$311,MATCH(ROWS($D$2:D339),'02_能力差距自评'!$W$2:$W$311,0)),"")</f>
        <v/>
      </c>
      <c r="E339" s="8" t="str">
        <f>IF($D339="","",INDEX('02_能力差距自评'!$G:$G,MATCH($D339,'02_能力差距自评'!$F:$F,0)))</f>
        <v/>
      </c>
      <c r="F339" s="8" t="str">
        <f>IF($D339="","",INDEX('02_能力差距自评'!$C:$C,MATCH($D339,'02_能力差距自评'!$F:$F,0)))</f>
        <v/>
      </c>
      <c r="G339" s="8" t="str">
        <f>IF($D339="","",INDEX('02_能力差距自评'!$E:$E,MATCH($D339,'02_能力差距自评'!$F:$F,0)))</f>
        <v/>
      </c>
      <c r="H339" s="8" t="str">
        <f>IF($D339="","",INDEX('02_能力差距自评'!$L:$L,MATCH($D339,'02_能力差距自评'!$F:$F,0)))</f>
        <v/>
      </c>
      <c r="I339" s="8" t="str">
        <f>IF($D339="","",INDEX('02_能力差距自评'!$M:$M,MATCH($D339,'02_能力差距自评'!$F:$F,0)))</f>
        <v/>
      </c>
      <c r="J339" s="8" t="str">
        <f>IF($D339="","",INDEX('02_能力差距自评'!$N:$N,MATCH($D339,'02_能力差距自评'!$F:$F,0)))</f>
        <v/>
      </c>
      <c r="K339" s="8" t="str">
        <f>IF($D339="","",INDEX('02_能力差距自评'!$O:$O,MATCH($D339,'02_能力差距自评'!$F:$F,0)))</f>
        <v/>
      </c>
      <c r="L339" s="8" t="str">
        <f>IF($D339="","",INDEX('02_能力差距自评'!$I:$I,MATCH($D339,'02_能力差距自评'!$F:$F,0)))</f>
        <v/>
      </c>
      <c r="M339" s="8" t="str">
        <f t="shared" si="10"/>
        <v/>
      </c>
      <c r="N339" s="8" t="str">
        <f>IF($D339="","",INDEX('02_能力差距自评'!$J:$J,MATCH($D339,'02_能力差距自评'!$F:$F,0)))</f>
        <v/>
      </c>
      <c r="O339" s="8" t="str">
        <f>IF($D339="","",INDEX('02_能力差距自评'!$K:$K,MATCH($D339,'02_能力差距自评'!$F:$F,0)))</f>
        <v/>
      </c>
      <c r="P339" s="8"/>
      <c r="Q339" s="8"/>
      <c r="R339" s="8"/>
      <c r="S339" s="8" t="str">
        <f t="shared" si="11"/>
        <v/>
      </c>
      <c r="T339" s="8"/>
      <c r="U339" s="8"/>
      <c r="V339" s="8"/>
    </row>
    <row r="340" spans="1:22">
      <c r="A340" s="8" t="str">
        <f>IF($D340="","","LP"&amp;TEXT(ROWS($A$2:A340),"000"))</f>
        <v/>
      </c>
      <c r="B340" s="8" t="str">
        <f>IF($D340="","",IFERROR(INDEX('02_能力差距自评'!$Q:$Q,MATCH($D340,'02_能力差距自评'!$F:$F,0)),""))</f>
        <v/>
      </c>
      <c r="C340" s="8" t="str">
        <f>IF($D340="","",IFERROR(INDEX('02_能力差距自评'!$R:$R,MATCH($D340,'02_能力差距自评'!$F:$F,0)),""))</f>
        <v/>
      </c>
      <c r="D340" s="8" t="str">
        <f>IFERROR(INDEX('02_能力差距自评'!$F$2:$F$311,MATCH(ROWS($D$2:D340),'02_能力差距自评'!$W$2:$W$311,0)),"")</f>
        <v/>
      </c>
      <c r="E340" s="8" t="str">
        <f>IF($D340="","",INDEX('02_能力差距自评'!$G:$G,MATCH($D340,'02_能力差距自评'!$F:$F,0)))</f>
        <v/>
      </c>
      <c r="F340" s="8" t="str">
        <f>IF($D340="","",INDEX('02_能力差距自评'!$C:$C,MATCH($D340,'02_能力差距自评'!$F:$F,0)))</f>
        <v/>
      </c>
      <c r="G340" s="8" t="str">
        <f>IF($D340="","",INDEX('02_能力差距自评'!$E:$E,MATCH($D340,'02_能力差距自评'!$F:$F,0)))</f>
        <v/>
      </c>
      <c r="H340" s="8" t="str">
        <f>IF($D340="","",INDEX('02_能力差距自评'!$L:$L,MATCH($D340,'02_能力差距自评'!$F:$F,0)))</f>
        <v/>
      </c>
      <c r="I340" s="8" t="str">
        <f>IF($D340="","",INDEX('02_能力差距自评'!$M:$M,MATCH($D340,'02_能力差距自评'!$F:$F,0)))</f>
        <v/>
      </c>
      <c r="J340" s="8" t="str">
        <f>IF($D340="","",INDEX('02_能力差距自评'!$N:$N,MATCH($D340,'02_能力差距自评'!$F:$F,0)))</f>
        <v/>
      </c>
      <c r="K340" s="8" t="str">
        <f>IF($D340="","",INDEX('02_能力差距自评'!$O:$O,MATCH($D340,'02_能力差距自评'!$F:$F,0)))</f>
        <v/>
      </c>
      <c r="L340" s="8" t="str">
        <f>IF($D340="","",INDEX('02_能力差距自评'!$I:$I,MATCH($D340,'02_能力差距自评'!$F:$F,0)))</f>
        <v/>
      </c>
      <c r="M340" s="8" t="str">
        <f t="shared" si="10"/>
        <v/>
      </c>
      <c r="N340" s="8" t="str">
        <f>IF($D340="","",INDEX('02_能力差距自评'!$J:$J,MATCH($D340,'02_能力差距自评'!$F:$F,0)))</f>
        <v/>
      </c>
      <c r="O340" s="8" t="str">
        <f>IF($D340="","",INDEX('02_能力差距自评'!$K:$K,MATCH($D340,'02_能力差距自评'!$F:$F,0)))</f>
        <v/>
      </c>
      <c r="P340" s="8"/>
      <c r="Q340" s="8"/>
      <c r="R340" s="8"/>
      <c r="S340" s="8" t="str">
        <f t="shared" si="11"/>
        <v/>
      </c>
      <c r="T340" s="8"/>
      <c r="U340" s="8"/>
      <c r="V340" s="8"/>
    </row>
    <row r="341" spans="1:22">
      <c r="A341" s="8" t="str">
        <f>IF($D341="","","LP"&amp;TEXT(ROWS($A$2:A341),"000"))</f>
        <v/>
      </c>
      <c r="B341" s="8" t="str">
        <f>IF($D341="","",IFERROR(INDEX('02_能力差距自评'!$Q:$Q,MATCH($D341,'02_能力差距自评'!$F:$F,0)),""))</f>
        <v/>
      </c>
      <c r="C341" s="8" t="str">
        <f>IF($D341="","",IFERROR(INDEX('02_能力差距自评'!$R:$R,MATCH($D341,'02_能力差距自评'!$F:$F,0)),""))</f>
        <v/>
      </c>
      <c r="D341" s="8" t="str">
        <f>IFERROR(INDEX('02_能力差距自评'!$F$2:$F$311,MATCH(ROWS($D$2:D341),'02_能力差距自评'!$W$2:$W$311,0)),"")</f>
        <v/>
      </c>
      <c r="E341" s="8" t="str">
        <f>IF($D341="","",INDEX('02_能力差距自评'!$G:$G,MATCH($D341,'02_能力差距自评'!$F:$F,0)))</f>
        <v/>
      </c>
      <c r="F341" s="8" t="str">
        <f>IF($D341="","",INDEX('02_能力差距自评'!$C:$C,MATCH($D341,'02_能力差距自评'!$F:$F,0)))</f>
        <v/>
      </c>
      <c r="G341" s="8" t="str">
        <f>IF($D341="","",INDEX('02_能力差距自评'!$E:$E,MATCH($D341,'02_能力差距自评'!$F:$F,0)))</f>
        <v/>
      </c>
      <c r="H341" s="8" t="str">
        <f>IF($D341="","",INDEX('02_能力差距自评'!$L:$L,MATCH($D341,'02_能力差距自评'!$F:$F,0)))</f>
        <v/>
      </c>
      <c r="I341" s="8" t="str">
        <f>IF($D341="","",INDEX('02_能力差距自评'!$M:$M,MATCH($D341,'02_能力差距自评'!$F:$F,0)))</f>
        <v/>
      </c>
      <c r="J341" s="8" t="str">
        <f>IF($D341="","",INDEX('02_能力差距自评'!$N:$N,MATCH($D341,'02_能力差距自评'!$F:$F,0)))</f>
        <v/>
      </c>
      <c r="K341" s="8" t="str">
        <f>IF($D341="","",INDEX('02_能力差距自评'!$O:$O,MATCH($D341,'02_能力差距自评'!$F:$F,0)))</f>
        <v/>
      </c>
      <c r="L341" s="8" t="str">
        <f>IF($D341="","",INDEX('02_能力差距自评'!$I:$I,MATCH($D341,'02_能力差距自评'!$F:$F,0)))</f>
        <v/>
      </c>
      <c r="M341" s="8" t="str">
        <f t="shared" si="10"/>
        <v/>
      </c>
      <c r="N341" s="8" t="str">
        <f>IF($D341="","",INDEX('02_能力差距自评'!$J:$J,MATCH($D341,'02_能力差距自评'!$F:$F,0)))</f>
        <v/>
      </c>
      <c r="O341" s="8" t="str">
        <f>IF($D341="","",INDEX('02_能力差距自评'!$K:$K,MATCH($D341,'02_能力差距自评'!$F:$F,0)))</f>
        <v/>
      </c>
      <c r="P341" s="8"/>
      <c r="Q341" s="8"/>
      <c r="R341" s="8"/>
      <c r="S341" s="8" t="str">
        <f t="shared" si="11"/>
        <v/>
      </c>
      <c r="T341" s="8"/>
      <c r="U341" s="8"/>
      <c r="V341" s="8"/>
    </row>
    <row r="342" spans="1:22">
      <c r="A342" s="8" t="str">
        <f>IF($D342="","","LP"&amp;TEXT(ROWS($A$2:A342),"000"))</f>
        <v/>
      </c>
      <c r="B342" s="8" t="str">
        <f>IF($D342="","",IFERROR(INDEX('02_能力差距自评'!$Q:$Q,MATCH($D342,'02_能力差距自评'!$F:$F,0)),""))</f>
        <v/>
      </c>
      <c r="C342" s="8" t="str">
        <f>IF($D342="","",IFERROR(INDEX('02_能力差距自评'!$R:$R,MATCH($D342,'02_能力差距自评'!$F:$F,0)),""))</f>
        <v/>
      </c>
      <c r="D342" s="8" t="str">
        <f>IFERROR(INDEX('02_能力差距自评'!$F$2:$F$311,MATCH(ROWS($D$2:D342),'02_能力差距自评'!$W$2:$W$311,0)),"")</f>
        <v/>
      </c>
      <c r="E342" s="8" t="str">
        <f>IF($D342="","",INDEX('02_能力差距自评'!$G:$G,MATCH($D342,'02_能力差距自评'!$F:$F,0)))</f>
        <v/>
      </c>
      <c r="F342" s="8" t="str">
        <f>IF($D342="","",INDEX('02_能力差距自评'!$C:$C,MATCH($D342,'02_能力差距自评'!$F:$F,0)))</f>
        <v/>
      </c>
      <c r="G342" s="8" t="str">
        <f>IF($D342="","",INDEX('02_能力差距自评'!$E:$E,MATCH($D342,'02_能力差距自评'!$F:$F,0)))</f>
        <v/>
      </c>
      <c r="H342" s="8" t="str">
        <f>IF($D342="","",INDEX('02_能力差距自评'!$L:$L,MATCH($D342,'02_能力差距自评'!$F:$F,0)))</f>
        <v/>
      </c>
      <c r="I342" s="8" t="str">
        <f>IF($D342="","",INDEX('02_能力差距自评'!$M:$M,MATCH($D342,'02_能力差距自评'!$F:$F,0)))</f>
        <v/>
      </c>
      <c r="J342" s="8" t="str">
        <f>IF($D342="","",INDEX('02_能力差距自评'!$N:$N,MATCH($D342,'02_能力差距自评'!$F:$F,0)))</f>
        <v/>
      </c>
      <c r="K342" s="8" t="str">
        <f>IF($D342="","",INDEX('02_能力差距自评'!$O:$O,MATCH($D342,'02_能力差距自评'!$F:$F,0)))</f>
        <v/>
      </c>
      <c r="L342" s="8" t="str">
        <f>IF($D342="","",INDEX('02_能力差距自评'!$I:$I,MATCH($D342,'02_能力差距自评'!$F:$F,0)))</f>
        <v/>
      </c>
      <c r="M342" s="8" t="str">
        <f t="shared" si="10"/>
        <v/>
      </c>
      <c r="N342" s="8" t="str">
        <f>IF($D342="","",INDEX('02_能力差距自评'!$J:$J,MATCH($D342,'02_能力差距自评'!$F:$F,0)))</f>
        <v/>
      </c>
      <c r="O342" s="8" t="str">
        <f>IF($D342="","",INDEX('02_能力差距自评'!$K:$K,MATCH($D342,'02_能力差距自评'!$F:$F,0)))</f>
        <v/>
      </c>
      <c r="P342" s="8"/>
      <c r="Q342" s="8"/>
      <c r="R342" s="8"/>
      <c r="S342" s="8" t="str">
        <f t="shared" si="11"/>
        <v/>
      </c>
      <c r="T342" s="8"/>
      <c r="U342" s="8"/>
      <c r="V342" s="8"/>
    </row>
    <row r="343" spans="1:22">
      <c r="A343" s="8" t="str">
        <f>IF($D343="","","LP"&amp;TEXT(ROWS($A$2:A343),"000"))</f>
        <v/>
      </c>
      <c r="B343" s="8" t="str">
        <f>IF($D343="","",IFERROR(INDEX('02_能力差距自评'!$Q:$Q,MATCH($D343,'02_能力差距自评'!$F:$F,0)),""))</f>
        <v/>
      </c>
      <c r="C343" s="8" t="str">
        <f>IF($D343="","",IFERROR(INDEX('02_能力差距自评'!$R:$R,MATCH($D343,'02_能力差距自评'!$F:$F,0)),""))</f>
        <v/>
      </c>
      <c r="D343" s="8" t="str">
        <f>IFERROR(INDEX('02_能力差距自评'!$F$2:$F$311,MATCH(ROWS($D$2:D343),'02_能力差距自评'!$W$2:$W$311,0)),"")</f>
        <v/>
      </c>
      <c r="E343" s="8" t="str">
        <f>IF($D343="","",INDEX('02_能力差距自评'!$G:$G,MATCH($D343,'02_能力差距自评'!$F:$F,0)))</f>
        <v/>
      </c>
      <c r="F343" s="8" t="str">
        <f>IF($D343="","",INDEX('02_能力差距自评'!$C:$C,MATCH($D343,'02_能力差距自评'!$F:$F,0)))</f>
        <v/>
      </c>
      <c r="G343" s="8" t="str">
        <f>IF($D343="","",INDEX('02_能力差距自评'!$E:$E,MATCH($D343,'02_能力差距自评'!$F:$F,0)))</f>
        <v/>
      </c>
      <c r="H343" s="8" t="str">
        <f>IF($D343="","",INDEX('02_能力差距自评'!$L:$L,MATCH($D343,'02_能力差距自评'!$F:$F,0)))</f>
        <v/>
      </c>
      <c r="I343" s="8" t="str">
        <f>IF($D343="","",INDEX('02_能力差距自评'!$M:$M,MATCH($D343,'02_能力差距自评'!$F:$F,0)))</f>
        <v/>
      </c>
      <c r="J343" s="8" t="str">
        <f>IF($D343="","",INDEX('02_能力差距自评'!$N:$N,MATCH($D343,'02_能力差距自评'!$F:$F,0)))</f>
        <v/>
      </c>
      <c r="K343" s="8" t="str">
        <f>IF($D343="","",INDEX('02_能力差距自评'!$O:$O,MATCH($D343,'02_能力差距自评'!$F:$F,0)))</f>
        <v/>
      </c>
      <c r="L343" s="8" t="str">
        <f>IF($D343="","",INDEX('02_能力差距自评'!$I:$I,MATCH($D343,'02_能力差距自评'!$F:$F,0)))</f>
        <v/>
      </c>
      <c r="M343" s="8" t="str">
        <f t="shared" si="10"/>
        <v/>
      </c>
      <c r="N343" s="8" t="str">
        <f>IF($D343="","",INDEX('02_能力差距自评'!$J:$J,MATCH($D343,'02_能力差距自评'!$F:$F,0)))</f>
        <v/>
      </c>
      <c r="O343" s="8" t="str">
        <f>IF($D343="","",INDEX('02_能力差距自评'!$K:$K,MATCH($D343,'02_能力差距自评'!$F:$F,0)))</f>
        <v/>
      </c>
      <c r="P343" s="8"/>
      <c r="Q343" s="8"/>
      <c r="R343" s="8"/>
      <c r="S343" s="8" t="str">
        <f t="shared" si="11"/>
        <v/>
      </c>
      <c r="T343" s="8"/>
      <c r="U343" s="8"/>
      <c r="V343" s="8"/>
    </row>
    <row r="344" spans="1:22">
      <c r="A344" s="8" t="str">
        <f>IF($D344="","","LP"&amp;TEXT(ROWS($A$2:A344),"000"))</f>
        <v/>
      </c>
      <c r="B344" s="8" t="str">
        <f>IF($D344="","",IFERROR(INDEX('02_能力差距自评'!$Q:$Q,MATCH($D344,'02_能力差距自评'!$F:$F,0)),""))</f>
        <v/>
      </c>
      <c r="C344" s="8" t="str">
        <f>IF($D344="","",IFERROR(INDEX('02_能力差距自评'!$R:$R,MATCH($D344,'02_能力差距自评'!$F:$F,0)),""))</f>
        <v/>
      </c>
      <c r="D344" s="8" t="str">
        <f>IFERROR(INDEX('02_能力差距自评'!$F$2:$F$311,MATCH(ROWS($D$2:D344),'02_能力差距自评'!$W$2:$W$311,0)),"")</f>
        <v/>
      </c>
      <c r="E344" s="8" t="str">
        <f>IF($D344="","",INDEX('02_能力差距自评'!$G:$G,MATCH($D344,'02_能力差距自评'!$F:$F,0)))</f>
        <v/>
      </c>
      <c r="F344" s="8" t="str">
        <f>IF($D344="","",INDEX('02_能力差距自评'!$C:$C,MATCH($D344,'02_能力差距自评'!$F:$F,0)))</f>
        <v/>
      </c>
      <c r="G344" s="8" t="str">
        <f>IF($D344="","",INDEX('02_能力差距自评'!$E:$E,MATCH($D344,'02_能力差距自评'!$F:$F,0)))</f>
        <v/>
      </c>
      <c r="H344" s="8" t="str">
        <f>IF($D344="","",INDEX('02_能力差距自评'!$L:$L,MATCH($D344,'02_能力差距自评'!$F:$F,0)))</f>
        <v/>
      </c>
      <c r="I344" s="8" t="str">
        <f>IF($D344="","",INDEX('02_能力差距自评'!$M:$M,MATCH($D344,'02_能力差距自评'!$F:$F,0)))</f>
        <v/>
      </c>
      <c r="J344" s="8" t="str">
        <f>IF($D344="","",INDEX('02_能力差距自评'!$N:$N,MATCH($D344,'02_能力差距自评'!$F:$F,0)))</f>
        <v/>
      </c>
      <c r="K344" s="8" t="str">
        <f>IF($D344="","",INDEX('02_能力差距自评'!$O:$O,MATCH($D344,'02_能力差距自评'!$F:$F,0)))</f>
        <v/>
      </c>
      <c r="L344" s="8" t="str">
        <f>IF($D344="","",INDEX('02_能力差距自评'!$I:$I,MATCH($D344,'02_能力差距自评'!$F:$F,0)))</f>
        <v/>
      </c>
      <c r="M344" s="8" t="str">
        <f t="shared" si="10"/>
        <v/>
      </c>
      <c r="N344" s="8" t="str">
        <f>IF($D344="","",INDEX('02_能力差距自评'!$J:$J,MATCH($D344,'02_能力差距自评'!$F:$F,0)))</f>
        <v/>
      </c>
      <c r="O344" s="8" t="str">
        <f>IF($D344="","",INDEX('02_能力差距自评'!$K:$K,MATCH($D344,'02_能力差距自评'!$F:$F,0)))</f>
        <v/>
      </c>
      <c r="P344" s="8"/>
      <c r="Q344" s="8"/>
      <c r="R344" s="8"/>
      <c r="S344" s="8" t="str">
        <f t="shared" si="11"/>
        <v/>
      </c>
      <c r="T344" s="8"/>
      <c r="U344" s="8"/>
      <c r="V344" s="8"/>
    </row>
    <row r="345" spans="1:22">
      <c r="A345" s="8" t="str">
        <f>IF($D345="","","LP"&amp;TEXT(ROWS($A$2:A345),"000"))</f>
        <v/>
      </c>
      <c r="B345" s="8" t="str">
        <f>IF($D345="","",IFERROR(INDEX('02_能力差距自评'!$Q:$Q,MATCH($D345,'02_能力差距自评'!$F:$F,0)),""))</f>
        <v/>
      </c>
      <c r="C345" s="8" t="str">
        <f>IF($D345="","",IFERROR(INDEX('02_能力差距自评'!$R:$R,MATCH($D345,'02_能力差距自评'!$F:$F,0)),""))</f>
        <v/>
      </c>
      <c r="D345" s="8" t="str">
        <f>IFERROR(INDEX('02_能力差距自评'!$F$2:$F$311,MATCH(ROWS($D$2:D345),'02_能力差距自评'!$W$2:$W$311,0)),"")</f>
        <v/>
      </c>
      <c r="E345" s="8" t="str">
        <f>IF($D345="","",INDEX('02_能力差距自评'!$G:$G,MATCH($D345,'02_能力差距自评'!$F:$F,0)))</f>
        <v/>
      </c>
      <c r="F345" s="8" t="str">
        <f>IF($D345="","",INDEX('02_能力差距自评'!$C:$C,MATCH($D345,'02_能力差距自评'!$F:$F,0)))</f>
        <v/>
      </c>
      <c r="G345" s="8" t="str">
        <f>IF($D345="","",INDEX('02_能力差距自评'!$E:$E,MATCH($D345,'02_能力差距自评'!$F:$F,0)))</f>
        <v/>
      </c>
      <c r="H345" s="8" t="str">
        <f>IF($D345="","",INDEX('02_能力差距自评'!$L:$L,MATCH($D345,'02_能力差距自评'!$F:$F,0)))</f>
        <v/>
      </c>
      <c r="I345" s="8" t="str">
        <f>IF($D345="","",INDEX('02_能力差距自评'!$M:$M,MATCH($D345,'02_能力差距自评'!$F:$F,0)))</f>
        <v/>
      </c>
      <c r="J345" s="8" t="str">
        <f>IF($D345="","",INDEX('02_能力差距自评'!$N:$N,MATCH($D345,'02_能力差距自评'!$F:$F,0)))</f>
        <v/>
      </c>
      <c r="K345" s="8" t="str">
        <f>IF($D345="","",INDEX('02_能力差距自评'!$O:$O,MATCH($D345,'02_能力差距自评'!$F:$F,0)))</f>
        <v/>
      </c>
      <c r="L345" s="8" t="str">
        <f>IF($D345="","",INDEX('02_能力差距自评'!$I:$I,MATCH($D345,'02_能力差距自评'!$F:$F,0)))</f>
        <v/>
      </c>
      <c r="M345" s="8" t="str">
        <f t="shared" si="10"/>
        <v/>
      </c>
      <c r="N345" s="8" t="str">
        <f>IF($D345="","",INDEX('02_能力差距自评'!$J:$J,MATCH($D345,'02_能力差距自评'!$F:$F,0)))</f>
        <v/>
      </c>
      <c r="O345" s="8" t="str">
        <f>IF($D345="","",INDEX('02_能力差距自评'!$K:$K,MATCH($D345,'02_能力差距自评'!$F:$F,0)))</f>
        <v/>
      </c>
      <c r="P345" s="8"/>
      <c r="Q345" s="8"/>
      <c r="R345" s="8"/>
      <c r="S345" s="8" t="str">
        <f t="shared" si="11"/>
        <v/>
      </c>
      <c r="T345" s="8"/>
      <c r="U345" s="8"/>
      <c r="V345" s="8"/>
    </row>
    <row r="346" spans="1:22">
      <c r="A346" s="8" t="str">
        <f>IF($D346="","","LP"&amp;TEXT(ROWS($A$2:A346),"000"))</f>
        <v/>
      </c>
      <c r="B346" s="8" t="str">
        <f>IF($D346="","",IFERROR(INDEX('02_能力差距自评'!$Q:$Q,MATCH($D346,'02_能力差距自评'!$F:$F,0)),""))</f>
        <v/>
      </c>
      <c r="C346" s="8" t="str">
        <f>IF($D346="","",IFERROR(INDEX('02_能力差距自评'!$R:$R,MATCH($D346,'02_能力差距自评'!$F:$F,0)),""))</f>
        <v/>
      </c>
      <c r="D346" s="8" t="str">
        <f>IFERROR(INDEX('02_能力差距自评'!$F$2:$F$311,MATCH(ROWS($D$2:D346),'02_能力差距自评'!$W$2:$W$311,0)),"")</f>
        <v/>
      </c>
      <c r="E346" s="8" t="str">
        <f>IF($D346="","",INDEX('02_能力差距自评'!$G:$G,MATCH($D346,'02_能力差距自评'!$F:$F,0)))</f>
        <v/>
      </c>
      <c r="F346" s="8" t="str">
        <f>IF($D346="","",INDEX('02_能力差距自评'!$C:$C,MATCH($D346,'02_能力差距自评'!$F:$F,0)))</f>
        <v/>
      </c>
      <c r="G346" s="8" t="str">
        <f>IF($D346="","",INDEX('02_能力差距自评'!$E:$E,MATCH($D346,'02_能力差距自评'!$F:$F,0)))</f>
        <v/>
      </c>
      <c r="H346" s="8" t="str">
        <f>IF($D346="","",INDEX('02_能力差距自评'!$L:$L,MATCH($D346,'02_能力差距自评'!$F:$F,0)))</f>
        <v/>
      </c>
      <c r="I346" s="8" t="str">
        <f>IF($D346="","",INDEX('02_能力差距自评'!$M:$M,MATCH($D346,'02_能力差距自评'!$F:$F,0)))</f>
        <v/>
      </c>
      <c r="J346" s="8" t="str">
        <f>IF($D346="","",INDEX('02_能力差距自评'!$N:$N,MATCH($D346,'02_能力差距自评'!$F:$F,0)))</f>
        <v/>
      </c>
      <c r="K346" s="8" t="str">
        <f>IF($D346="","",INDEX('02_能力差距自评'!$O:$O,MATCH($D346,'02_能力差距自评'!$F:$F,0)))</f>
        <v/>
      </c>
      <c r="L346" s="8" t="str">
        <f>IF($D346="","",INDEX('02_能力差距自评'!$I:$I,MATCH($D346,'02_能力差距自评'!$F:$F,0)))</f>
        <v/>
      </c>
      <c r="M346" s="8" t="str">
        <f t="shared" si="10"/>
        <v/>
      </c>
      <c r="N346" s="8" t="str">
        <f>IF($D346="","",INDEX('02_能力差距自评'!$J:$J,MATCH($D346,'02_能力差距自评'!$F:$F,0)))</f>
        <v/>
      </c>
      <c r="O346" s="8" t="str">
        <f>IF($D346="","",INDEX('02_能力差距自评'!$K:$K,MATCH($D346,'02_能力差距自评'!$F:$F,0)))</f>
        <v/>
      </c>
      <c r="P346" s="8"/>
      <c r="Q346" s="8"/>
      <c r="R346" s="8"/>
      <c r="S346" s="8" t="str">
        <f t="shared" si="11"/>
        <v/>
      </c>
      <c r="T346" s="8"/>
      <c r="U346" s="8"/>
      <c r="V346" s="8"/>
    </row>
    <row r="347" spans="1:22">
      <c r="A347" s="8" t="str">
        <f>IF($D347="","","LP"&amp;TEXT(ROWS($A$2:A347),"000"))</f>
        <v/>
      </c>
      <c r="B347" s="8" t="str">
        <f>IF($D347="","",IFERROR(INDEX('02_能力差距自评'!$Q:$Q,MATCH($D347,'02_能力差距自评'!$F:$F,0)),""))</f>
        <v/>
      </c>
      <c r="C347" s="8" t="str">
        <f>IF($D347="","",IFERROR(INDEX('02_能力差距自评'!$R:$R,MATCH($D347,'02_能力差距自评'!$F:$F,0)),""))</f>
        <v/>
      </c>
      <c r="D347" s="8" t="str">
        <f>IFERROR(INDEX('02_能力差距自评'!$F$2:$F$311,MATCH(ROWS($D$2:D347),'02_能力差距自评'!$W$2:$W$311,0)),"")</f>
        <v/>
      </c>
      <c r="E347" s="8" t="str">
        <f>IF($D347="","",INDEX('02_能力差距自评'!$G:$G,MATCH($D347,'02_能力差距自评'!$F:$F,0)))</f>
        <v/>
      </c>
      <c r="F347" s="8" t="str">
        <f>IF($D347="","",INDEX('02_能力差距自评'!$C:$C,MATCH($D347,'02_能力差距自评'!$F:$F,0)))</f>
        <v/>
      </c>
      <c r="G347" s="8" t="str">
        <f>IF($D347="","",INDEX('02_能力差距自评'!$E:$E,MATCH($D347,'02_能力差距自评'!$F:$F,0)))</f>
        <v/>
      </c>
      <c r="H347" s="8" t="str">
        <f>IF($D347="","",INDEX('02_能力差距自评'!$L:$L,MATCH($D347,'02_能力差距自评'!$F:$F,0)))</f>
        <v/>
      </c>
      <c r="I347" s="8" t="str">
        <f>IF($D347="","",INDEX('02_能力差距自评'!$M:$M,MATCH($D347,'02_能力差距自评'!$F:$F,0)))</f>
        <v/>
      </c>
      <c r="J347" s="8" t="str">
        <f>IF($D347="","",INDEX('02_能力差距自评'!$N:$N,MATCH($D347,'02_能力差距自评'!$F:$F,0)))</f>
        <v/>
      </c>
      <c r="K347" s="8" t="str">
        <f>IF($D347="","",INDEX('02_能力差距自评'!$O:$O,MATCH($D347,'02_能力差距自评'!$F:$F,0)))</f>
        <v/>
      </c>
      <c r="L347" s="8" t="str">
        <f>IF($D347="","",INDEX('02_能力差距自评'!$I:$I,MATCH($D347,'02_能力差距自评'!$F:$F,0)))</f>
        <v/>
      </c>
      <c r="M347" s="8" t="str">
        <f t="shared" si="10"/>
        <v/>
      </c>
      <c r="N347" s="8" t="str">
        <f>IF($D347="","",INDEX('02_能力差距自评'!$J:$J,MATCH($D347,'02_能力差距自评'!$F:$F,0)))</f>
        <v/>
      </c>
      <c r="O347" s="8" t="str">
        <f>IF($D347="","",INDEX('02_能力差距自评'!$K:$K,MATCH($D347,'02_能力差距自评'!$F:$F,0)))</f>
        <v/>
      </c>
      <c r="P347" s="8"/>
      <c r="Q347" s="8"/>
      <c r="R347" s="8"/>
      <c r="S347" s="8" t="str">
        <f t="shared" si="11"/>
        <v/>
      </c>
      <c r="T347" s="8"/>
      <c r="U347" s="8"/>
      <c r="V347" s="8"/>
    </row>
    <row r="348" spans="1:22">
      <c r="A348" s="8" t="str">
        <f>IF($D348="","","LP"&amp;TEXT(ROWS($A$2:A348),"000"))</f>
        <v/>
      </c>
      <c r="B348" s="8" t="str">
        <f>IF($D348="","",IFERROR(INDEX('02_能力差距自评'!$Q:$Q,MATCH($D348,'02_能力差距自评'!$F:$F,0)),""))</f>
        <v/>
      </c>
      <c r="C348" s="8" t="str">
        <f>IF($D348="","",IFERROR(INDEX('02_能力差距自评'!$R:$R,MATCH($D348,'02_能力差距自评'!$F:$F,0)),""))</f>
        <v/>
      </c>
      <c r="D348" s="8" t="str">
        <f>IFERROR(INDEX('02_能力差距自评'!$F$2:$F$311,MATCH(ROWS($D$2:D348),'02_能力差距自评'!$W$2:$W$311,0)),"")</f>
        <v/>
      </c>
      <c r="E348" s="8" t="str">
        <f>IF($D348="","",INDEX('02_能力差距自评'!$G:$G,MATCH($D348,'02_能力差距自评'!$F:$F,0)))</f>
        <v/>
      </c>
      <c r="F348" s="8" t="str">
        <f>IF($D348="","",INDEX('02_能力差距自评'!$C:$C,MATCH($D348,'02_能力差距自评'!$F:$F,0)))</f>
        <v/>
      </c>
      <c r="G348" s="8" t="str">
        <f>IF($D348="","",INDEX('02_能力差距自评'!$E:$E,MATCH($D348,'02_能力差距自评'!$F:$F,0)))</f>
        <v/>
      </c>
      <c r="H348" s="8" t="str">
        <f>IF($D348="","",INDEX('02_能力差距自评'!$L:$L,MATCH($D348,'02_能力差距自评'!$F:$F,0)))</f>
        <v/>
      </c>
      <c r="I348" s="8" t="str">
        <f>IF($D348="","",INDEX('02_能力差距自评'!$M:$M,MATCH($D348,'02_能力差距自评'!$F:$F,0)))</f>
        <v/>
      </c>
      <c r="J348" s="8" t="str">
        <f>IF($D348="","",INDEX('02_能力差距自评'!$N:$N,MATCH($D348,'02_能力差距自评'!$F:$F,0)))</f>
        <v/>
      </c>
      <c r="K348" s="8" t="str">
        <f>IF($D348="","",INDEX('02_能力差距自评'!$O:$O,MATCH($D348,'02_能力差距自评'!$F:$F,0)))</f>
        <v/>
      </c>
      <c r="L348" s="8" t="str">
        <f>IF($D348="","",INDEX('02_能力差距自评'!$I:$I,MATCH($D348,'02_能力差距自评'!$F:$F,0)))</f>
        <v/>
      </c>
      <c r="M348" s="8" t="str">
        <f t="shared" si="10"/>
        <v/>
      </c>
      <c r="N348" s="8" t="str">
        <f>IF($D348="","",INDEX('02_能力差距自评'!$J:$J,MATCH($D348,'02_能力差距自评'!$F:$F,0)))</f>
        <v/>
      </c>
      <c r="O348" s="8" t="str">
        <f>IF($D348="","",INDEX('02_能力差距自评'!$K:$K,MATCH($D348,'02_能力差距自评'!$F:$F,0)))</f>
        <v/>
      </c>
      <c r="P348" s="8"/>
      <c r="Q348" s="8"/>
      <c r="R348" s="8"/>
      <c r="S348" s="8" t="str">
        <f t="shared" si="11"/>
        <v/>
      </c>
      <c r="T348" s="8"/>
      <c r="U348" s="8"/>
      <c r="V348" s="8"/>
    </row>
    <row r="349" spans="1:22">
      <c r="A349" s="8" t="str">
        <f>IF($D349="","","LP"&amp;TEXT(ROWS($A$2:A349),"000"))</f>
        <v/>
      </c>
      <c r="B349" s="8" t="str">
        <f>IF($D349="","",IFERROR(INDEX('02_能力差距自评'!$Q:$Q,MATCH($D349,'02_能力差距自评'!$F:$F,0)),""))</f>
        <v/>
      </c>
      <c r="C349" s="8" t="str">
        <f>IF($D349="","",IFERROR(INDEX('02_能力差距自评'!$R:$R,MATCH($D349,'02_能力差距自评'!$F:$F,0)),""))</f>
        <v/>
      </c>
      <c r="D349" s="8" t="str">
        <f>IFERROR(INDEX('02_能力差距自评'!$F$2:$F$311,MATCH(ROWS($D$2:D349),'02_能力差距自评'!$W$2:$W$311,0)),"")</f>
        <v/>
      </c>
      <c r="E349" s="8" t="str">
        <f>IF($D349="","",INDEX('02_能力差距自评'!$G:$G,MATCH($D349,'02_能力差距自评'!$F:$F,0)))</f>
        <v/>
      </c>
      <c r="F349" s="8" t="str">
        <f>IF($D349="","",INDEX('02_能力差距自评'!$C:$C,MATCH($D349,'02_能力差距自评'!$F:$F,0)))</f>
        <v/>
      </c>
      <c r="G349" s="8" t="str">
        <f>IF($D349="","",INDEX('02_能力差距自评'!$E:$E,MATCH($D349,'02_能力差距自评'!$F:$F,0)))</f>
        <v/>
      </c>
      <c r="H349" s="8" t="str">
        <f>IF($D349="","",INDEX('02_能力差距自评'!$L:$L,MATCH($D349,'02_能力差距自评'!$F:$F,0)))</f>
        <v/>
      </c>
      <c r="I349" s="8" t="str">
        <f>IF($D349="","",INDEX('02_能力差距自评'!$M:$M,MATCH($D349,'02_能力差距自评'!$F:$F,0)))</f>
        <v/>
      </c>
      <c r="J349" s="8" t="str">
        <f>IF($D349="","",INDEX('02_能力差距自评'!$N:$N,MATCH($D349,'02_能力差距自评'!$F:$F,0)))</f>
        <v/>
      </c>
      <c r="K349" s="8" t="str">
        <f>IF($D349="","",INDEX('02_能力差距自评'!$O:$O,MATCH($D349,'02_能力差距自评'!$F:$F,0)))</f>
        <v/>
      </c>
      <c r="L349" s="8" t="str">
        <f>IF($D349="","",INDEX('02_能力差距自评'!$I:$I,MATCH($D349,'02_能力差距自评'!$F:$F,0)))</f>
        <v/>
      </c>
      <c r="M349" s="8" t="str">
        <f t="shared" si="10"/>
        <v/>
      </c>
      <c r="N349" s="8" t="str">
        <f>IF($D349="","",INDEX('02_能力差距自评'!$J:$J,MATCH($D349,'02_能力差距自评'!$F:$F,0)))</f>
        <v/>
      </c>
      <c r="O349" s="8" t="str">
        <f>IF($D349="","",INDEX('02_能力差距自评'!$K:$K,MATCH($D349,'02_能力差距自评'!$F:$F,0)))</f>
        <v/>
      </c>
      <c r="P349" s="8"/>
      <c r="Q349" s="8"/>
      <c r="R349" s="8"/>
      <c r="S349" s="8" t="str">
        <f t="shared" si="11"/>
        <v/>
      </c>
      <c r="T349" s="8"/>
      <c r="U349" s="8"/>
      <c r="V349" s="8"/>
    </row>
    <row r="350" spans="1:22">
      <c r="A350" s="8" t="str">
        <f>IF($D350="","","LP"&amp;TEXT(ROWS($A$2:A350),"000"))</f>
        <v/>
      </c>
      <c r="B350" s="8" t="str">
        <f>IF($D350="","",IFERROR(INDEX('02_能力差距自评'!$Q:$Q,MATCH($D350,'02_能力差距自评'!$F:$F,0)),""))</f>
        <v/>
      </c>
      <c r="C350" s="8" t="str">
        <f>IF($D350="","",IFERROR(INDEX('02_能力差距自评'!$R:$R,MATCH($D350,'02_能力差距自评'!$F:$F,0)),""))</f>
        <v/>
      </c>
      <c r="D350" s="8" t="str">
        <f>IFERROR(INDEX('02_能力差距自评'!$F$2:$F$311,MATCH(ROWS($D$2:D350),'02_能力差距自评'!$W$2:$W$311,0)),"")</f>
        <v/>
      </c>
      <c r="E350" s="8" t="str">
        <f>IF($D350="","",INDEX('02_能力差距自评'!$G:$G,MATCH($D350,'02_能力差距自评'!$F:$F,0)))</f>
        <v/>
      </c>
      <c r="F350" s="8" t="str">
        <f>IF($D350="","",INDEX('02_能力差距自评'!$C:$C,MATCH($D350,'02_能力差距自评'!$F:$F,0)))</f>
        <v/>
      </c>
      <c r="G350" s="8" t="str">
        <f>IF($D350="","",INDEX('02_能力差距自评'!$E:$E,MATCH($D350,'02_能力差距自评'!$F:$F,0)))</f>
        <v/>
      </c>
      <c r="H350" s="8" t="str">
        <f>IF($D350="","",INDEX('02_能力差距自评'!$L:$L,MATCH($D350,'02_能力差距自评'!$F:$F,0)))</f>
        <v/>
      </c>
      <c r="I350" s="8" t="str">
        <f>IF($D350="","",INDEX('02_能力差距自评'!$M:$M,MATCH($D350,'02_能力差距自评'!$F:$F,0)))</f>
        <v/>
      </c>
      <c r="J350" s="8" t="str">
        <f>IF($D350="","",INDEX('02_能力差距自评'!$N:$N,MATCH($D350,'02_能力差距自评'!$F:$F,0)))</f>
        <v/>
      </c>
      <c r="K350" s="8" t="str">
        <f>IF($D350="","",INDEX('02_能力差距自评'!$O:$O,MATCH($D350,'02_能力差距自评'!$F:$F,0)))</f>
        <v/>
      </c>
      <c r="L350" s="8" t="str">
        <f>IF($D350="","",INDEX('02_能力差距自评'!$I:$I,MATCH($D350,'02_能力差距自评'!$F:$F,0)))</f>
        <v/>
      </c>
      <c r="M350" s="8" t="str">
        <f t="shared" si="10"/>
        <v/>
      </c>
      <c r="N350" s="8" t="str">
        <f>IF($D350="","",INDEX('02_能力差距自评'!$J:$J,MATCH($D350,'02_能力差距自评'!$F:$F,0)))</f>
        <v/>
      </c>
      <c r="O350" s="8" t="str">
        <f>IF($D350="","",INDEX('02_能力差距自评'!$K:$K,MATCH($D350,'02_能力差距自评'!$F:$F,0)))</f>
        <v/>
      </c>
      <c r="P350" s="8"/>
      <c r="Q350" s="8"/>
      <c r="R350" s="8"/>
      <c r="S350" s="8" t="str">
        <f t="shared" si="11"/>
        <v/>
      </c>
      <c r="T350" s="8"/>
      <c r="U350" s="8"/>
      <c r="V350" s="8"/>
    </row>
  </sheetData>
  <phoneticPr fontId="12" type="noConversion"/>
  <conditionalFormatting sqref="O2:O121">
    <cfRule type="expression" dxfId="8" priority="1">
      <formula>$O2="已完成"</formula>
    </cfRule>
    <cfRule type="expression" dxfId="7" priority="2">
      <formula>$O2="延期"</formula>
    </cfRule>
    <cfRule type="expression" dxfId="6" priority="3">
      <formula>$O2="进行中"</formula>
    </cfRule>
  </conditionalFormatting>
  <dataValidations count="4">
    <dataValidation type="list" sqref="B2:B121" xr:uid="{00000000-0002-0000-0300-000000000000}">
      <formula1>"Q1,Q2,Q3,Q4"</formula1>
    </dataValidation>
    <dataValidation type="list" sqref="C2:C121" xr:uid="{00000000-0002-0000-0300-000001000000}">
      <formula1>"第1月,第2月,第3月,第4月,第5月,第6月,第7月,第8月,第9月,第10月,第11月,第12月"</formula1>
    </dataValidation>
    <dataValidation type="list" sqref="F2:G121" xr:uid="{00000000-0002-0000-0300-000002000000}">
      <formula1>"0,1,2,3,4,5"</formula1>
    </dataValidation>
    <dataValidation type="list" sqref="O2:O121" xr:uid="{00000000-0002-0000-0300-000003000000}">
      <formula1>"未开始,进行中,已完成,延期,暂停,取消"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1"/>
  <sheetViews>
    <sheetView workbookViewId="0">
      <selection activeCell="C12" sqref="C12"/>
    </sheetView>
  </sheetViews>
  <sheetFormatPr defaultRowHeight="13.5"/>
  <cols>
    <col min="1" max="1" width="12" customWidth="1"/>
    <col min="2" max="2" width="14" customWidth="1"/>
    <col min="3" max="3" width="18" customWidth="1"/>
    <col min="4" max="4" width="24" customWidth="1"/>
    <col min="5" max="5" width="32" customWidth="1"/>
    <col min="6" max="6" width="20" customWidth="1"/>
    <col min="7" max="7" width="18.0625" bestFit="1" customWidth="1"/>
    <col min="8" max="8" width="12" customWidth="1"/>
    <col min="9" max="14" width="14" customWidth="1"/>
    <col min="15" max="15" width="12" customWidth="1"/>
    <col min="16" max="16" width="28" customWidth="1"/>
    <col min="17" max="17" width="14" customWidth="1"/>
    <col min="18" max="18" width="30" customWidth="1"/>
    <col min="19" max="19" width="28" customWidth="1"/>
    <col min="20" max="20" width="20" customWidth="1"/>
  </cols>
  <sheetData>
    <row r="1" spans="1:20" ht="18" customHeight="1">
      <c r="A1" s="10" t="s">
        <v>1395</v>
      </c>
      <c r="B1" s="10" t="s">
        <v>1397</v>
      </c>
      <c r="C1" s="10" t="s">
        <v>87</v>
      </c>
      <c r="D1" s="10" t="s">
        <v>100</v>
      </c>
      <c r="E1" s="10" t="s">
        <v>102</v>
      </c>
      <c r="F1" s="10" t="s">
        <v>104</v>
      </c>
      <c r="G1" s="10" t="s">
        <v>105</v>
      </c>
      <c r="H1" s="10" t="s">
        <v>106</v>
      </c>
      <c r="I1" s="10" t="s">
        <v>1401</v>
      </c>
      <c r="J1" s="10" t="s">
        <v>1402</v>
      </c>
      <c r="K1" s="10" t="s">
        <v>1406</v>
      </c>
      <c r="L1" s="10" t="s">
        <v>1407</v>
      </c>
      <c r="M1" s="10" t="s">
        <v>1408</v>
      </c>
      <c r="N1" s="10" t="s">
        <v>1409</v>
      </c>
      <c r="O1" s="10" t="s">
        <v>63</v>
      </c>
      <c r="P1" s="10" t="s">
        <v>1404</v>
      </c>
      <c r="Q1" s="10" t="s">
        <v>1410</v>
      </c>
      <c r="R1" s="10" t="s">
        <v>1405</v>
      </c>
      <c r="S1" s="10" t="s">
        <v>1411</v>
      </c>
      <c r="T1" s="10" t="s">
        <v>90</v>
      </c>
    </row>
    <row r="2" spans="1:20" ht="13.9">
      <c r="A2" s="11" t="str">
        <f>IF('03_年度学习计划'!$A2="","",'03_年度学习计划'!$A2)</f>
        <v/>
      </c>
      <c r="B2" s="11" t="str">
        <f>IF($A2="","",'03_年度学习计划'!$D2)</f>
        <v/>
      </c>
      <c r="C2" s="11" t="str">
        <f>IF($A2="","",'03_年度学习计划'!$F2)</f>
        <v/>
      </c>
      <c r="D2" s="11" t="str">
        <f>IF($A2="","",'03_年度学习计划'!$G2)</f>
        <v/>
      </c>
      <c r="E2" s="11" t="str">
        <f>IF($A2="","",'03_年度学习计划'!$E2)</f>
        <v/>
      </c>
      <c r="F2" s="11" t="str">
        <f>IF($A2="","",'03_年度学习计划'!$L2)</f>
        <v/>
      </c>
      <c r="G2" s="12" t="str">
        <f>IF($A2="","",'03_年度学习计划'!$N2)</f>
        <v/>
      </c>
      <c r="H2" s="12" t="str">
        <f>IF($A2="","",'03_年度学习计划'!$O2)</f>
        <v/>
      </c>
      <c r="I2" s="12" t="str">
        <f>IF($A2="","",'03_年度学习计划'!$P2)</f>
        <v/>
      </c>
      <c r="J2" s="11" t="str">
        <f>IF($A2="","",'03_年度学习计划'!$Q2)</f>
        <v/>
      </c>
      <c r="K2" s="11" t="str">
        <f>IF($A2="","",'03_年度学习计划'!$S2)</f>
        <v/>
      </c>
      <c r="L2" s="13" t="str">
        <f t="shared" ref="L2:L33" si="0">IF($A2="","","未开始")</f>
        <v/>
      </c>
      <c r="M2" s="13"/>
      <c r="N2" s="13"/>
      <c r="O2" s="13"/>
      <c r="P2" s="14"/>
      <c r="Q2" s="14"/>
      <c r="R2" s="14"/>
      <c r="S2" s="14"/>
      <c r="T2" s="14"/>
    </row>
    <row r="3" spans="1:20" ht="13.9">
      <c r="A3" s="11" t="str">
        <f>IF('03_年度学习计划'!$A3="","",'03_年度学习计划'!$A3)</f>
        <v/>
      </c>
      <c r="B3" s="11" t="str">
        <f>IF($A3="","",'03_年度学习计划'!$D3)</f>
        <v/>
      </c>
      <c r="C3" s="11" t="str">
        <f>IF($A3="","",'03_年度学习计划'!$F3)</f>
        <v/>
      </c>
      <c r="D3" s="11" t="str">
        <f>IF($A3="","",'03_年度学习计划'!$G3)</f>
        <v/>
      </c>
      <c r="E3" s="11" t="str">
        <f>IF($A3="","",'03_年度学习计划'!$E3)</f>
        <v/>
      </c>
      <c r="F3" s="11" t="str">
        <f>IF($A3="","",'03_年度学习计划'!$L3)</f>
        <v/>
      </c>
      <c r="G3" s="12" t="str">
        <f>IF($A3="","",'03_年度学习计划'!$N3)</f>
        <v/>
      </c>
      <c r="H3" s="12" t="str">
        <f>IF($A3="","",'03_年度学习计划'!$O3)</f>
        <v/>
      </c>
      <c r="I3" s="12" t="str">
        <f>IF($A3="","",'03_年度学习计划'!$P3)</f>
        <v/>
      </c>
      <c r="J3" s="11" t="str">
        <f>IF($A3="","",'03_年度学习计划'!$Q3)</f>
        <v/>
      </c>
      <c r="K3" s="11" t="str">
        <f>IF($A3="","",'03_年度学习计划'!$S3)</f>
        <v/>
      </c>
      <c r="L3" s="13" t="str">
        <f t="shared" si="0"/>
        <v/>
      </c>
      <c r="M3" s="13"/>
      <c r="N3" s="13"/>
      <c r="O3" s="13"/>
      <c r="P3" s="14"/>
      <c r="Q3" s="14"/>
      <c r="R3" s="14"/>
      <c r="S3" s="14"/>
      <c r="T3" s="14"/>
    </row>
    <row r="4" spans="1:20" ht="13.9">
      <c r="A4" s="11" t="str">
        <f>IF('03_年度学习计划'!$A4="","",'03_年度学习计划'!$A4)</f>
        <v/>
      </c>
      <c r="B4" s="11" t="str">
        <f>IF($A4="","",'03_年度学习计划'!$D4)</f>
        <v/>
      </c>
      <c r="C4" s="11" t="str">
        <f>IF($A4="","",'03_年度学习计划'!$F4)</f>
        <v/>
      </c>
      <c r="D4" s="11" t="str">
        <f>IF($A4="","",'03_年度学习计划'!$G4)</f>
        <v/>
      </c>
      <c r="E4" s="11" t="str">
        <f>IF($A4="","",'03_年度学习计划'!$E4)</f>
        <v/>
      </c>
      <c r="F4" s="11" t="str">
        <f>IF($A4="","",'03_年度学习计划'!$L4)</f>
        <v/>
      </c>
      <c r="G4" s="12" t="str">
        <f>IF($A4="","",'03_年度学习计划'!$N4)</f>
        <v/>
      </c>
      <c r="H4" s="12" t="str">
        <f>IF($A4="","",'03_年度学习计划'!$O4)</f>
        <v/>
      </c>
      <c r="I4" s="12" t="str">
        <f>IF($A4="","",'03_年度学习计划'!$P4)</f>
        <v/>
      </c>
      <c r="J4" s="11" t="str">
        <f>IF($A4="","",'03_年度学习计划'!$Q4)</f>
        <v/>
      </c>
      <c r="K4" s="11" t="str">
        <f>IF($A4="","",'03_年度学习计划'!$S4)</f>
        <v/>
      </c>
      <c r="L4" s="13" t="str">
        <f t="shared" si="0"/>
        <v/>
      </c>
      <c r="M4" s="13"/>
      <c r="N4" s="13"/>
      <c r="O4" s="13"/>
      <c r="P4" s="14"/>
      <c r="Q4" s="14"/>
      <c r="R4" s="14"/>
      <c r="S4" s="14"/>
      <c r="T4" s="14"/>
    </row>
    <row r="5" spans="1:20" ht="13.9">
      <c r="A5" s="11" t="str">
        <f>IF('03_年度学习计划'!$A5="","",'03_年度学习计划'!$A5)</f>
        <v/>
      </c>
      <c r="B5" s="11" t="str">
        <f>IF($A5="","",'03_年度学习计划'!$D5)</f>
        <v/>
      </c>
      <c r="C5" s="11" t="str">
        <f>IF($A5="","",'03_年度学习计划'!$F5)</f>
        <v/>
      </c>
      <c r="D5" s="11" t="str">
        <f>IF($A5="","",'03_年度学习计划'!$G5)</f>
        <v/>
      </c>
      <c r="E5" s="11" t="str">
        <f>IF($A5="","",'03_年度学习计划'!$E5)</f>
        <v/>
      </c>
      <c r="F5" s="11" t="str">
        <f>IF($A5="","",'03_年度学习计划'!$L5)</f>
        <v/>
      </c>
      <c r="G5" s="12" t="str">
        <f>IF($A5="","",'03_年度学习计划'!$N5)</f>
        <v/>
      </c>
      <c r="H5" s="12" t="str">
        <f>IF($A5="","",'03_年度学习计划'!$O5)</f>
        <v/>
      </c>
      <c r="I5" s="12" t="str">
        <f>IF($A5="","",'03_年度学习计划'!$P5)</f>
        <v/>
      </c>
      <c r="J5" s="11" t="str">
        <f>IF($A5="","",'03_年度学习计划'!$Q5)</f>
        <v/>
      </c>
      <c r="K5" s="11" t="str">
        <f>IF($A5="","",'03_年度学习计划'!$S5)</f>
        <v/>
      </c>
      <c r="L5" s="13" t="str">
        <f t="shared" si="0"/>
        <v/>
      </c>
      <c r="M5" s="13"/>
      <c r="N5" s="13"/>
      <c r="O5" s="13"/>
      <c r="P5" s="14"/>
      <c r="Q5" s="14"/>
      <c r="R5" s="14"/>
      <c r="S5" s="14"/>
      <c r="T5" s="14"/>
    </row>
    <row r="6" spans="1:20" ht="13.9">
      <c r="A6" s="11" t="str">
        <f>IF('03_年度学习计划'!$A6="","",'03_年度学习计划'!$A6)</f>
        <v/>
      </c>
      <c r="B6" s="11" t="str">
        <f>IF($A6="","",'03_年度学习计划'!$D6)</f>
        <v/>
      </c>
      <c r="C6" s="11" t="str">
        <f>IF($A6="","",'03_年度学习计划'!$F6)</f>
        <v/>
      </c>
      <c r="D6" s="11" t="str">
        <f>IF($A6="","",'03_年度学习计划'!$G6)</f>
        <v/>
      </c>
      <c r="E6" s="11" t="str">
        <f>IF($A6="","",'03_年度学习计划'!$E6)</f>
        <v/>
      </c>
      <c r="F6" s="11" t="str">
        <f>IF($A6="","",'03_年度学习计划'!$L6)</f>
        <v/>
      </c>
      <c r="G6" s="12" t="str">
        <f>IF($A6="","",'03_年度学习计划'!$N6)</f>
        <v/>
      </c>
      <c r="H6" s="12" t="str">
        <f>IF($A6="","",'03_年度学习计划'!$O6)</f>
        <v/>
      </c>
      <c r="I6" s="12" t="str">
        <f>IF($A6="","",'03_年度学习计划'!$P6)</f>
        <v/>
      </c>
      <c r="J6" s="11" t="str">
        <f>IF($A6="","",'03_年度学习计划'!$Q6)</f>
        <v/>
      </c>
      <c r="K6" s="11" t="str">
        <f>IF($A6="","",'03_年度学习计划'!$S6)</f>
        <v/>
      </c>
      <c r="L6" s="13" t="str">
        <f t="shared" si="0"/>
        <v/>
      </c>
      <c r="M6" s="13"/>
      <c r="N6" s="13"/>
      <c r="O6" s="13"/>
      <c r="P6" s="14"/>
      <c r="Q6" s="14"/>
      <c r="R6" s="14"/>
      <c r="S6" s="14"/>
      <c r="T6" s="14"/>
    </row>
    <row r="7" spans="1:20" ht="13.9">
      <c r="A7" s="11" t="str">
        <f>IF('03_年度学习计划'!$A7="","",'03_年度学习计划'!$A7)</f>
        <v/>
      </c>
      <c r="B7" s="11" t="str">
        <f>IF($A7="","",'03_年度学习计划'!$D7)</f>
        <v/>
      </c>
      <c r="C7" s="11" t="str">
        <f>IF($A7="","",'03_年度学习计划'!$F7)</f>
        <v/>
      </c>
      <c r="D7" s="11" t="str">
        <f>IF($A7="","",'03_年度学习计划'!$G7)</f>
        <v/>
      </c>
      <c r="E7" s="11" t="str">
        <f>IF($A7="","",'03_年度学习计划'!$E7)</f>
        <v/>
      </c>
      <c r="F7" s="11" t="str">
        <f>IF($A7="","",'03_年度学习计划'!$L7)</f>
        <v/>
      </c>
      <c r="G7" s="12" t="str">
        <f>IF($A7="","",'03_年度学习计划'!$N7)</f>
        <v/>
      </c>
      <c r="H7" s="12" t="str">
        <f>IF($A7="","",'03_年度学习计划'!$O7)</f>
        <v/>
      </c>
      <c r="I7" s="12" t="str">
        <f>IF($A7="","",'03_年度学习计划'!$P7)</f>
        <v/>
      </c>
      <c r="J7" s="11" t="str">
        <f>IF($A7="","",'03_年度学习计划'!$Q7)</f>
        <v/>
      </c>
      <c r="K7" s="11" t="str">
        <f>IF($A7="","",'03_年度学习计划'!$S7)</f>
        <v/>
      </c>
      <c r="L7" s="13" t="str">
        <f t="shared" si="0"/>
        <v/>
      </c>
      <c r="M7" s="13"/>
      <c r="N7" s="13"/>
      <c r="O7" s="13"/>
      <c r="P7" s="14"/>
      <c r="Q7" s="14"/>
      <c r="R7" s="14"/>
      <c r="S7" s="14"/>
      <c r="T7" s="14"/>
    </row>
    <row r="8" spans="1:20" ht="13.9">
      <c r="A8" s="11" t="str">
        <f>IF('03_年度学习计划'!$A8="","",'03_年度学习计划'!$A8)</f>
        <v/>
      </c>
      <c r="B8" s="11" t="str">
        <f>IF($A8="","",'03_年度学习计划'!$D8)</f>
        <v/>
      </c>
      <c r="C8" s="11" t="str">
        <f>IF($A8="","",'03_年度学习计划'!$F8)</f>
        <v/>
      </c>
      <c r="D8" s="11" t="str">
        <f>IF($A8="","",'03_年度学习计划'!$G8)</f>
        <v/>
      </c>
      <c r="E8" s="11" t="str">
        <f>IF($A8="","",'03_年度学习计划'!$E8)</f>
        <v/>
      </c>
      <c r="F8" s="11" t="str">
        <f>IF($A8="","",'03_年度学习计划'!$L8)</f>
        <v/>
      </c>
      <c r="G8" s="12" t="str">
        <f>IF($A8="","",'03_年度学习计划'!$N8)</f>
        <v/>
      </c>
      <c r="H8" s="12" t="str">
        <f>IF($A8="","",'03_年度学习计划'!$O8)</f>
        <v/>
      </c>
      <c r="I8" s="12" t="str">
        <f>IF($A8="","",'03_年度学习计划'!$P8)</f>
        <v/>
      </c>
      <c r="J8" s="11" t="str">
        <f>IF($A8="","",'03_年度学习计划'!$Q8)</f>
        <v/>
      </c>
      <c r="K8" s="11" t="str">
        <f>IF($A8="","",'03_年度学习计划'!$S8)</f>
        <v/>
      </c>
      <c r="L8" s="13" t="str">
        <f t="shared" si="0"/>
        <v/>
      </c>
      <c r="M8" s="13"/>
      <c r="N8" s="13"/>
      <c r="O8" s="13"/>
      <c r="P8" s="14"/>
      <c r="Q8" s="14"/>
      <c r="R8" s="14"/>
      <c r="S8" s="14"/>
      <c r="T8" s="14"/>
    </row>
    <row r="9" spans="1:20" ht="13.9">
      <c r="A9" s="11" t="str">
        <f>IF('03_年度学习计划'!$A9="","",'03_年度学习计划'!$A9)</f>
        <v/>
      </c>
      <c r="B9" s="11" t="str">
        <f>IF($A9="","",'03_年度学习计划'!$D9)</f>
        <v/>
      </c>
      <c r="C9" s="11" t="str">
        <f>IF($A9="","",'03_年度学习计划'!$F9)</f>
        <v/>
      </c>
      <c r="D9" s="11" t="str">
        <f>IF($A9="","",'03_年度学习计划'!$G9)</f>
        <v/>
      </c>
      <c r="E9" s="11" t="str">
        <f>IF($A9="","",'03_年度学习计划'!$E9)</f>
        <v/>
      </c>
      <c r="F9" s="11" t="str">
        <f>IF($A9="","",'03_年度学习计划'!$L9)</f>
        <v/>
      </c>
      <c r="G9" s="12" t="str">
        <f>IF($A9="","",'03_年度学习计划'!$N9)</f>
        <v/>
      </c>
      <c r="H9" s="12" t="str">
        <f>IF($A9="","",'03_年度学习计划'!$O9)</f>
        <v/>
      </c>
      <c r="I9" s="12" t="str">
        <f>IF($A9="","",'03_年度学习计划'!$P9)</f>
        <v/>
      </c>
      <c r="J9" s="11" t="str">
        <f>IF($A9="","",'03_年度学习计划'!$Q9)</f>
        <v/>
      </c>
      <c r="K9" s="11" t="str">
        <f>IF($A9="","",'03_年度学习计划'!$S9)</f>
        <v/>
      </c>
      <c r="L9" s="13" t="str">
        <f t="shared" si="0"/>
        <v/>
      </c>
      <c r="M9" s="13"/>
      <c r="N9" s="13"/>
      <c r="O9" s="13"/>
      <c r="P9" s="14"/>
      <c r="Q9" s="14"/>
      <c r="R9" s="14"/>
      <c r="S9" s="14"/>
      <c r="T9" s="14"/>
    </row>
    <row r="10" spans="1:20" ht="13.9">
      <c r="A10" s="11" t="str">
        <f>IF('03_年度学习计划'!$A10="","",'03_年度学习计划'!$A10)</f>
        <v/>
      </c>
      <c r="B10" s="11" t="str">
        <f>IF($A10="","",'03_年度学习计划'!$D10)</f>
        <v/>
      </c>
      <c r="C10" s="11" t="str">
        <f>IF($A10="","",'03_年度学习计划'!$F10)</f>
        <v/>
      </c>
      <c r="D10" s="11" t="str">
        <f>IF($A10="","",'03_年度学习计划'!$G10)</f>
        <v/>
      </c>
      <c r="E10" s="11" t="str">
        <f>IF($A10="","",'03_年度学习计划'!$E10)</f>
        <v/>
      </c>
      <c r="F10" s="11" t="str">
        <f>IF($A10="","",'03_年度学习计划'!$L10)</f>
        <v/>
      </c>
      <c r="G10" s="12" t="str">
        <f>IF($A10="","",'03_年度学习计划'!$N10)</f>
        <v/>
      </c>
      <c r="H10" s="12" t="str">
        <f>IF($A10="","",'03_年度学习计划'!$O10)</f>
        <v/>
      </c>
      <c r="I10" s="12" t="str">
        <f>IF($A10="","",'03_年度学习计划'!$P10)</f>
        <v/>
      </c>
      <c r="J10" s="11" t="str">
        <f>IF($A10="","",'03_年度学习计划'!$Q10)</f>
        <v/>
      </c>
      <c r="K10" s="11" t="str">
        <f>IF($A10="","",'03_年度学习计划'!$S10)</f>
        <v/>
      </c>
      <c r="L10" s="13" t="str">
        <f t="shared" si="0"/>
        <v/>
      </c>
      <c r="M10" s="13"/>
      <c r="N10" s="13"/>
      <c r="O10" s="13"/>
      <c r="P10" s="14"/>
      <c r="Q10" s="14"/>
      <c r="R10" s="14"/>
      <c r="S10" s="14"/>
      <c r="T10" s="14"/>
    </row>
    <row r="11" spans="1:20" ht="13.9">
      <c r="A11" s="11" t="str">
        <f>IF('03_年度学习计划'!$A11="","",'03_年度学习计划'!$A11)</f>
        <v/>
      </c>
      <c r="B11" s="11" t="str">
        <f>IF($A11="","",'03_年度学习计划'!$D11)</f>
        <v/>
      </c>
      <c r="C11" s="11" t="str">
        <f>IF($A11="","",'03_年度学习计划'!$F11)</f>
        <v/>
      </c>
      <c r="D11" s="11" t="str">
        <f>IF($A11="","",'03_年度学习计划'!$G11)</f>
        <v/>
      </c>
      <c r="E11" s="11" t="str">
        <f>IF($A11="","",'03_年度学习计划'!$E11)</f>
        <v/>
      </c>
      <c r="F11" s="11" t="str">
        <f>IF($A11="","",'03_年度学习计划'!$L11)</f>
        <v/>
      </c>
      <c r="G11" s="12" t="str">
        <f>IF($A11="","",'03_年度学习计划'!$N11)</f>
        <v/>
      </c>
      <c r="H11" s="12" t="str">
        <f>IF($A11="","",'03_年度学习计划'!$O11)</f>
        <v/>
      </c>
      <c r="I11" s="12" t="str">
        <f>IF($A11="","",'03_年度学习计划'!$P11)</f>
        <v/>
      </c>
      <c r="J11" s="11" t="str">
        <f>IF($A11="","",'03_年度学习计划'!$Q11)</f>
        <v/>
      </c>
      <c r="K11" s="11" t="str">
        <f>IF($A11="","",'03_年度学习计划'!$S11)</f>
        <v/>
      </c>
      <c r="L11" s="13" t="str">
        <f t="shared" si="0"/>
        <v/>
      </c>
      <c r="M11" s="13"/>
      <c r="N11" s="13"/>
      <c r="O11" s="13"/>
      <c r="P11" s="14"/>
      <c r="Q11" s="14"/>
      <c r="R11" s="14"/>
      <c r="S11" s="14"/>
      <c r="T11" s="14"/>
    </row>
    <row r="12" spans="1:20" ht="13.9">
      <c r="A12" s="11" t="str">
        <f>IF('03_年度学习计划'!$A12="","",'03_年度学习计划'!$A12)</f>
        <v/>
      </c>
      <c r="B12" s="11" t="str">
        <f>IF($A12="","",'03_年度学习计划'!$D12)</f>
        <v/>
      </c>
      <c r="C12" s="11" t="str">
        <f>IF($A12="","",'03_年度学习计划'!$F12)</f>
        <v/>
      </c>
      <c r="D12" s="11" t="str">
        <f>IF($A12="","",'03_年度学习计划'!$G12)</f>
        <v/>
      </c>
      <c r="E12" s="11" t="str">
        <f>IF($A12="","",'03_年度学习计划'!$E12)</f>
        <v/>
      </c>
      <c r="F12" s="11" t="str">
        <f>IF($A12="","",'03_年度学习计划'!$L12)</f>
        <v/>
      </c>
      <c r="G12" s="12" t="str">
        <f>IF($A12="","",'03_年度学习计划'!$N12)</f>
        <v/>
      </c>
      <c r="H12" s="12" t="str">
        <f>IF($A12="","",'03_年度学习计划'!$O12)</f>
        <v/>
      </c>
      <c r="I12" s="12" t="str">
        <f>IF($A12="","",'03_年度学习计划'!$P12)</f>
        <v/>
      </c>
      <c r="J12" s="11" t="str">
        <f>IF($A12="","",'03_年度学习计划'!$Q12)</f>
        <v/>
      </c>
      <c r="K12" s="11" t="str">
        <f>IF($A12="","",'03_年度学习计划'!$S12)</f>
        <v/>
      </c>
      <c r="L12" s="13" t="str">
        <f t="shared" si="0"/>
        <v/>
      </c>
      <c r="M12" s="13"/>
      <c r="N12" s="13"/>
      <c r="O12" s="13"/>
      <c r="P12" s="14"/>
      <c r="Q12" s="14"/>
      <c r="R12" s="14"/>
      <c r="S12" s="14"/>
      <c r="T12" s="14"/>
    </row>
    <row r="13" spans="1:20" ht="13.9">
      <c r="A13" s="11" t="str">
        <f>IF('03_年度学习计划'!$A13="","",'03_年度学习计划'!$A13)</f>
        <v/>
      </c>
      <c r="B13" s="11" t="str">
        <f>IF($A13="","",'03_年度学习计划'!$D13)</f>
        <v/>
      </c>
      <c r="C13" s="11" t="str">
        <f>IF($A13="","",'03_年度学习计划'!$F13)</f>
        <v/>
      </c>
      <c r="D13" s="11" t="str">
        <f>IF($A13="","",'03_年度学习计划'!$G13)</f>
        <v/>
      </c>
      <c r="E13" s="11" t="str">
        <f>IF($A13="","",'03_年度学习计划'!$E13)</f>
        <v/>
      </c>
      <c r="F13" s="11" t="str">
        <f>IF($A13="","",'03_年度学习计划'!$L13)</f>
        <v/>
      </c>
      <c r="G13" s="12" t="str">
        <f>IF($A13="","",'03_年度学习计划'!$N13)</f>
        <v/>
      </c>
      <c r="H13" s="12" t="str">
        <f>IF($A13="","",'03_年度学习计划'!$O13)</f>
        <v/>
      </c>
      <c r="I13" s="12" t="str">
        <f>IF($A13="","",'03_年度学习计划'!$P13)</f>
        <v/>
      </c>
      <c r="J13" s="11" t="str">
        <f>IF($A13="","",'03_年度学习计划'!$Q13)</f>
        <v/>
      </c>
      <c r="K13" s="11" t="str">
        <f>IF($A13="","",'03_年度学习计划'!$S13)</f>
        <v/>
      </c>
      <c r="L13" s="13" t="str">
        <f t="shared" si="0"/>
        <v/>
      </c>
      <c r="M13" s="13"/>
      <c r="N13" s="13"/>
      <c r="O13" s="13"/>
      <c r="P13" s="14"/>
      <c r="Q13" s="14"/>
      <c r="R13" s="14"/>
      <c r="S13" s="14"/>
      <c r="T13" s="14"/>
    </row>
    <row r="14" spans="1:20" ht="13.9">
      <c r="A14" s="11" t="str">
        <f>IF('03_年度学习计划'!$A14="","",'03_年度学习计划'!$A14)</f>
        <v/>
      </c>
      <c r="B14" s="11" t="str">
        <f>IF($A14="","",'03_年度学习计划'!$D14)</f>
        <v/>
      </c>
      <c r="C14" s="11" t="str">
        <f>IF($A14="","",'03_年度学习计划'!$F14)</f>
        <v/>
      </c>
      <c r="D14" s="11" t="str">
        <f>IF($A14="","",'03_年度学习计划'!$G14)</f>
        <v/>
      </c>
      <c r="E14" s="11" t="str">
        <f>IF($A14="","",'03_年度学习计划'!$E14)</f>
        <v/>
      </c>
      <c r="F14" s="11" t="str">
        <f>IF($A14="","",'03_年度学习计划'!$L14)</f>
        <v/>
      </c>
      <c r="G14" s="12" t="str">
        <f>IF($A14="","",'03_年度学习计划'!$N14)</f>
        <v/>
      </c>
      <c r="H14" s="12" t="str">
        <f>IF($A14="","",'03_年度学习计划'!$O14)</f>
        <v/>
      </c>
      <c r="I14" s="12" t="str">
        <f>IF($A14="","",'03_年度学习计划'!$P14)</f>
        <v/>
      </c>
      <c r="J14" s="11" t="str">
        <f>IF($A14="","",'03_年度学习计划'!$Q14)</f>
        <v/>
      </c>
      <c r="K14" s="11" t="str">
        <f>IF($A14="","",'03_年度学习计划'!$S14)</f>
        <v/>
      </c>
      <c r="L14" s="13" t="str">
        <f t="shared" si="0"/>
        <v/>
      </c>
      <c r="M14" s="13"/>
      <c r="N14" s="13"/>
      <c r="O14" s="13"/>
      <c r="P14" s="14"/>
      <c r="Q14" s="14"/>
      <c r="R14" s="14"/>
      <c r="S14" s="14"/>
      <c r="T14" s="14"/>
    </row>
    <row r="15" spans="1:20" ht="13.9">
      <c r="A15" s="11" t="str">
        <f>IF('03_年度学习计划'!$A15="","",'03_年度学习计划'!$A15)</f>
        <v/>
      </c>
      <c r="B15" s="11" t="str">
        <f>IF($A15="","",'03_年度学习计划'!$D15)</f>
        <v/>
      </c>
      <c r="C15" s="11" t="str">
        <f>IF($A15="","",'03_年度学习计划'!$F15)</f>
        <v/>
      </c>
      <c r="D15" s="11" t="str">
        <f>IF($A15="","",'03_年度学习计划'!$G15)</f>
        <v/>
      </c>
      <c r="E15" s="11" t="str">
        <f>IF($A15="","",'03_年度学习计划'!$E15)</f>
        <v/>
      </c>
      <c r="F15" s="11" t="str">
        <f>IF($A15="","",'03_年度学习计划'!$L15)</f>
        <v/>
      </c>
      <c r="G15" s="12" t="str">
        <f>IF($A15="","",'03_年度学习计划'!$N15)</f>
        <v/>
      </c>
      <c r="H15" s="12" t="str">
        <f>IF($A15="","",'03_年度学习计划'!$O15)</f>
        <v/>
      </c>
      <c r="I15" s="12" t="str">
        <f>IF($A15="","",'03_年度学习计划'!$P15)</f>
        <v/>
      </c>
      <c r="J15" s="11" t="str">
        <f>IF($A15="","",'03_年度学习计划'!$Q15)</f>
        <v/>
      </c>
      <c r="K15" s="11" t="str">
        <f>IF($A15="","",'03_年度学习计划'!$S15)</f>
        <v/>
      </c>
      <c r="L15" s="13" t="str">
        <f t="shared" si="0"/>
        <v/>
      </c>
      <c r="M15" s="13"/>
      <c r="N15" s="13"/>
      <c r="O15" s="13"/>
      <c r="P15" s="14"/>
      <c r="Q15" s="14"/>
      <c r="R15" s="14"/>
      <c r="S15" s="14"/>
      <c r="T15" s="14"/>
    </row>
    <row r="16" spans="1:20" ht="13.9">
      <c r="A16" s="11" t="str">
        <f>IF('03_年度学习计划'!$A16="","",'03_年度学习计划'!$A16)</f>
        <v/>
      </c>
      <c r="B16" s="11" t="str">
        <f>IF($A16="","",'03_年度学习计划'!$D16)</f>
        <v/>
      </c>
      <c r="C16" s="11" t="str">
        <f>IF($A16="","",'03_年度学习计划'!$F16)</f>
        <v/>
      </c>
      <c r="D16" s="11" t="str">
        <f>IF($A16="","",'03_年度学习计划'!$G16)</f>
        <v/>
      </c>
      <c r="E16" s="11" t="str">
        <f>IF($A16="","",'03_年度学习计划'!$E16)</f>
        <v/>
      </c>
      <c r="F16" s="11" t="str">
        <f>IF($A16="","",'03_年度学习计划'!$L16)</f>
        <v/>
      </c>
      <c r="G16" s="12" t="str">
        <f>IF($A16="","",'03_年度学习计划'!$N16)</f>
        <v/>
      </c>
      <c r="H16" s="12" t="str">
        <f>IF($A16="","",'03_年度学习计划'!$O16)</f>
        <v/>
      </c>
      <c r="I16" s="12" t="str">
        <f>IF($A16="","",'03_年度学习计划'!$P16)</f>
        <v/>
      </c>
      <c r="J16" s="11" t="str">
        <f>IF($A16="","",'03_年度学习计划'!$Q16)</f>
        <v/>
      </c>
      <c r="K16" s="11" t="str">
        <f>IF($A16="","",'03_年度学习计划'!$S16)</f>
        <v/>
      </c>
      <c r="L16" s="13" t="str">
        <f t="shared" si="0"/>
        <v/>
      </c>
      <c r="M16" s="13"/>
      <c r="N16" s="13"/>
      <c r="O16" s="13"/>
      <c r="P16" s="14"/>
      <c r="Q16" s="14"/>
      <c r="R16" s="14"/>
      <c r="S16" s="14"/>
      <c r="T16" s="14"/>
    </row>
    <row r="17" spans="1:20" ht="13.9">
      <c r="A17" s="11" t="str">
        <f>IF('03_年度学习计划'!$A17="","",'03_年度学习计划'!$A17)</f>
        <v/>
      </c>
      <c r="B17" s="11" t="str">
        <f>IF($A17="","",'03_年度学习计划'!$D17)</f>
        <v/>
      </c>
      <c r="C17" s="11" t="str">
        <f>IF($A17="","",'03_年度学习计划'!$F17)</f>
        <v/>
      </c>
      <c r="D17" s="11" t="str">
        <f>IF($A17="","",'03_年度学习计划'!$G17)</f>
        <v/>
      </c>
      <c r="E17" s="11" t="str">
        <f>IF($A17="","",'03_年度学习计划'!$E17)</f>
        <v/>
      </c>
      <c r="F17" s="11" t="str">
        <f>IF($A17="","",'03_年度学习计划'!$L17)</f>
        <v/>
      </c>
      <c r="G17" s="12" t="str">
        <f>IF($A17="","",'03_年度学习计划'!$N17)</f>
        <v/>
      </c>
      <c r="H17" s="12" t="str">
        <f>IF($A17="","",'03_年度学习计划'!$O17)</f>
        <v/>
      </c>
      <c r="I17" s="12" t="str">
        <f>IF($A17="","",'03_年度学习计划'!$P17)</f>
        <v/>
      </c>
      <c r="J17" s="11" t="str">
        <f>IF($A17="","",'03_年度学习计划'!$Q17)</f>
        <v/>
      </c>
      <c r="K17" s="11" t="str">
        <f>IF($A17="","",'03_年度学习计划'!$S17)</f>
        <v/>
      </c>
      <c r="L17" s="13" t="str">
        <f t="shared" si="0"/>
        <v/>
      </c>
      <c r="M17" s="13"/>
      <c r="N17" s="13"/>
      <c r="O17" s="13"/>
      <c r="P17" s="14"/>
      <c r="Q17" s="14"/>
      <c r="R17" s="14"/>
      <c r="S17" s="14"/>
      <c r="T17" s="14"/>
    </row>
    <row r="18" spans="1:20" ht="13.9">
      <c r="A18" s="11" t="str">
        <f>IF('03_年度学习计划'!$A18="","",'03_年度学习计划'!$A18)</f>
        <v/>
      </c>
      <c r="B18" s="11" t="str">
        <f>IF($A18="","",'03_年度学习计划'!$D18)</f>
        <v/>
      </c>
      <c r="C18" s="11" t="str">
        <f>IF($A18="","",'03_年度学习计划'!$F18)</f>
        <v/>
      </c>
      <c r="D18" s="11" t="str">
        <f>IF($A18="","",'03_年度学习计划'!$G18)</f>
        <v/>
      </c>
      <c r="E18" s="11" t="str">
        <f>IF($A18="","",'03_年度学习计划'!$E18)</f>
        <v/>
      </c>
      <c r="F18" s="11" t="str">
        <f>IF($A18="","",'03_年度学习计划'!$L18)</f>
        <v/>
      </c>
      <c r="G18" s="12" t="str">
        <f>IF($A18="","",'03_年度学习计划'!$N18)</f>
        <v/>
      </c>
      <c r="H18" s="12" t="str">
        <f>IF($A18="","",'03_年度学习计划'!$O18)</f>
        <v/>
      </c>
      <c r="I18" s="12" t="str">
        <f>IF($A18="","",'03_年度学习计划'!$P18)</f>
        <v/>
      </c>
      <c r="J18" s="11" t="str">
        <f>IF($A18="","",'03_年度学习计划'!$Q18)</f>
        <v/>
      </c>
      <c r="K18" s="11" t="str">
        <f>IF($A18="","",'03_年度学习计划'!$S18)</f>
        <v/>
      </c>
      <c r="L18" s="13" t="str">
        <f t="shared" si="0"/>
        <v/>
      </c>
      <c r="M18" s="13"/>
      <c r="N18" s="13"/>
      <c r="O18" s="13"/>
      <c r="P18" s="14"/>
      <c r="Q18" s="14"/>
      <c r="R18" s="14"/>
      <c r="S18" s="14"/>
      <c r="T18" s="14"/>
    </row>
    <row r="19" spans="1:20" ht="13.9">
      <c r="A19" s="11" t="str">
        <f>IF('03_年度学习计划'!$A19="","",'03_年度学习计划'!$A19)</f>
        <v/>
      </c>
      <c r="B19" s="11" t="str">
        <f>IF($A19="","",'03_年度学习计划'!$D19)</f>
        <v/>
      </c>
      <c r="C19" s="11" t="str">
        <f>IF($A19="","",'03_年度学习计划'!$F19)</f>
        <v/>
      </c>
      <c r="D19" s="11" t="str">
        <f>IF($A19="","",'03_年度学习计划'!$G19)</f>
        <v/>
      </c>
      <c r="E19" s="11" t="str">
        <f>IF($A19="","",'03_年度学习计划'!$E19)</f>
        <v/>
      </c>
      <c r="F19" s="11" t="str">
        <f>IF($A19="","",'03_年度学习计划'!$L19)</f>
        <v/>
      </c>
      <c r="G19" s="12" t="str">
        <f>IF($A19="","",'03_年度学习计划'!$N19)</f>
        <v/>
      </c>
      <c r="H19" s="12" t="str">
        <f>IF($A19="","",'03_年度学习计划'!$O19)</f>
        <v/>
      </c>
      <c r="I19" s="12" t="str">
        <f>IF($A19="","",'03_年度学习计划'!$P19)</f>
        <v/>
      </c>
      <c r="J19" s="11" t="str">
        <f>IF($A19="","",'03_年度学习计划'!$Q19)</f>
        <v/>
      </c>
      <c r="K19" s="11" t="str">
        <f>IF($A19="","",'03_年度学习计划'!$S19)</f>
        <v/>
      </c>
      <c r="L19" s="13" t="str">
        <f t="shared" si="0"/>
        <v/>
      </c>
      <c r="M19" s="13"/>
      <c r="N19" s="13"/>
      <c r="O19" s="13"/>
      <c r="P19" s="14"/>
      <c r="Q19" s="14"/>
      <c r="R19" s="14"/>
      <c r="S19" s="14"/>
      <c r="T19" s="14"/>
    </row>
    <row r="20" spans="1:20" ht="13.9">
      <c r="A20" s="11" t="str">
        <f>IF('03_年度学习计划'!$A20="","",'03_年度学习计划'!$A20)</f>
        <v/>
      </c>
      <c r="B20" s="11" t="str">
        <f>IF($A20="","",'03_年度学习计划'!$D20)</f>
        <v/>
      </c>
      <c r="C20" s="11" t="str">
        <f>IF($A20="","",'03_年度学习计划'!$F20)</f>
        <v/>
      </c>
      <c r="D20" s="11" t="str">
        <f>IF($A20="","",'03_年度学习计划'!$G20)</f>
        <v/>
      </c>
      <c r="E20" s="11" t="str">
        <f>IF($A20="","",'03_年度学习计划'!$E20)</f>
        <v/>
      </c>
      <c r="F20" s="11" t="str">
        <f>IF($A20="","",'03_年度学习计划'!$L20)</f>
        <v/>
      </c>
      <c r="G20" s="12" t="str">
        <f>IF($A20="","",'03_年度学习计划'!$N20)</f>
        <v/>
      </c>
      <c r="H20" s="12" t="str">
        <f>IF($A20="","",'03_年度学习计划'!$O20)</f>
        <v/>
      </c>
      <c r="I20" s="12" t="str">
        <f>IF($A20="","",'03_年度学习计划'!$P20)</f>
        <v/>
      </c>
      <c r="J20" s="11" t="str">
        <f>IF($A20="","",'03_年度学习计划'!$Q20)</f>
        <v/>
      </c>
      <c r="K20" s="11" t="str">
        <f>IF($A20="","",'03_年度学习计划'!$S20)</f>
        <v/>
      </c>
      <c r="L20" s="13" t="str">
        <f t="shared" si="0"/>
        <v/>
      </c>
      <c r="M20" s="13"/>
      <c r="N20" s="13"/>
      <c r="O20" s="13"/>
      <c r="P20" s="14"/>
      <c r="Q20" s="14"/>
      <c r="R20" s="14"/>
      <c r="S20" s="14"/>
      <c r="T20" s="14"/>
    </row>
    <row r="21" spans="1:20" ht="13.9">
      <c r="A21" s="11" t="str">
        <f>IF('03_年度学习计划'!$A21="","",'03_年度学习计划'!$A21)</f>
        <v/>
      </c>
      <c r="B21" s="11" t="str">
        <f>IF($A21="","",'03_年度学习计划'!$D21)</f>
        <v/>
      </c>
      <c r="C21" s="11" t="str">
        <f>IF($A21="","",'03_年度学习计划'!$F21)</f>
        <v/>
      </c>
      <c r="D21" s="11" t="str">
        <f>IF($A21="","",'03_年度学习计划'!$G21)</f>
        <v/>
      </c>
      <c r="E21" s="11" t="str">
        <f>IF($A21="","",'03_年度学习计划'!$E21)</f>
        <v/>
      </c>
      <c r="F21" s="11" t="str">
        <f>IF($A21="","",'03_年度学习计划'!$L21)</f>
        <v/>
      </c>
      <c r="G21" s="12" t="str">
        <f>IF($A21="","",'03_年度学习计划'!$N21)</f>
        <v/>
      </c>
      <c r="H21" s="12" t="str">
        <f>IF($A21="","",'03_年度学习计划'!$O21)</f>
        <v/>
      </c>
      <c r="I21" s="12" t="str">
        <f>IF($A21="","",'03_年度学习计划'!$P21)</f>
        <v/>
      </c>
      <c r="J21" s="11" t="str">
        <f>IF($A21="","",'03_年度学习计划'!$Q21)</f>
        <v/>
      </c>
      <c r="K21" s="11" t="str">
        <f>IF($A21="","",'03_年度学习计划'!$S21)</f>
        <v/>
      </c>
      <c r="L21" s="13" t="str">
        <f t="shared" si="0"/>
        <v/>
      </c>
      <c r="M21" s="13"/>
      <c r="N21" s="13"/>
      <c r="O21" s="13"/>
      <c r="P21" s="14"/>
      <c r="Q21" s="14"/>
      <c r="R21" s="14"/>
      <c r="S21" s="14"/>
      <c r="T21" s="14"/>
    </row>
    <row r="22" spans="1:20" ht="13.9">
      <c r="A22" s="11" t="str">
        <f>IF('03_年度学习计划'!$A22="","",'03_年度学习计划'!$A22)</f>
        <v/>
      </c>
      <c r="B22" s="11" t="str">
        <f>IF($A22="","",'03_年度学习计划'!$D22)</f>
        <v/>
      </c>
      <c r="C22" s="11" t="str">
        <f>IF($A22="","",'03_年度学习计划'!$F22)</f>
        <v/>
      </c>
      <c r="D22" s="11" t="str">
        <f>IF($A22="","",'03_年度学习计划'!$G22)</f>
        <v/>
      </c>
      <c r="E22" s="11" t="str">
        <f>IF($A22="","",'03_年度学习计划'!$E22)</f>
        <v/>
      </c>
      <c r="F22" s="11" t="str">
        <f>IF($A22="","",'03_年度学习计划'!$L22)</f>
        <v/>
      </c>
      <c r="G22" s="12" t="str">
        <f>IF($A22="","",'03_年度学习计划'!$N22)</f>
        <v/>
      </c>
      <c r="H22" s="12" t="str">
        <f>IF($A22="","",'03_年度学习计划'!$O22)</f>
        <v/>
      </c>
      <c r="I22" s="12" t="str">
        <f>IF($A22="","",'03_年度学习计划'!$P22)</f>
        <v/>
      </c>
      <c r="J22" s="11" t="str">
        <f>IF($A22="","",'03_年度学习计划'!$Q22)</f>
        <v/>
      </c>
      <c r="K22" s="11" t="str">
        <f>IF($A22="","",'03_年度学习计划'!$S22)</f>
        <v/>
      </c>
      <c r="L22" s="13" t="str">
        <f t="shared" si="0"/>
        <v/>
      </c>
      <c r="M22" s="13"/>
      <c r="N22" s="13"/>
      <c r="O22" s="13"/>
      <c r="P22" s="14"/>
      <c r="Q22" s="14"/>
      <c r="R22" s="14"/>
      <c r="S22" s="14"/>
      <c r="T22" s="14"/>
    </row>
    <row r="23" spans="1:20" ht="13.9">
      <c r="A23" s="11" t="str">
        <f>IF('03_年度学习计划'!$A23="","",'03_年度学习计划'!$A23)</f>
        <v/>
      </c>
      <c r="B23" s="11" t="str">
        <f>IF($A23="","",'03_年度学习计划'!$D23)</f>
        <v/>
      </c>
      <c r="C23" s="11" t="str">
        <f>IF($A23="","",'03_年度学习计划'!$F23)</f>
        <v/>
      </c>
      <c r="D23" s="11" t="str">
        <f>IF($A23="","",'03_年度学习计划'!$G23)</f>
        <v/>
      </c>
      <c r="E23" s="11" t="str">
        <f>IF($A23="","",'03_年度学习计划'!$E23)</f>
        <v/>
      </c>
      <c r="F23" s="11" t="str">
        <f>IF($A23="","",'03_年度学习计划'!$L23)</f>
        <v/>
      </c>
      <c r="G23" s="12" t="str">
        <f>IF($A23="","",'03_年度学习计划'!$N23)</f>
        <v/>
      </c>
      <c r="H23" s="12" t="str">
        <f>IF($A23="","",'03_年度学习计划'!$O23)</f>
        <v/>
      </c>
      <c r="I23" s="12" t="str">
        <f>IF($A23="","",'03_年度学习计划'!$P23)</f>
        <v/>
      </c>
      <c r="J23" s="11" t="str">
        <f>IF($A23="","",'03_年度学习计划'!$Q23)</f>
        <v/>
      </c>
      <c r="K23" s="11" t="str">
        <f>IF($A23="","",'03_年度学习计划'!$S23)</f>
        <v/>
      </c>
      <c r="L23" s="13" t="str">
        <f t="shared" si="0"/>
        <v/>
      </c>
      <c r="M23" s="13"/>
      <c r="N23" s="13"/>
      <c r="O23" s="13"/>
      <c r="P23" s="14"/>
      <c r="Q23" s="14"/>
      <c r="R23" s="14"/>
      <c r="S23" s="14"/>
      <c r="T23" s="14"/>
    </row>
    <row r="24" spans="1:20" ht="13.9">
      <c r="A24" s="11" t="str">
        <f>IF('03_年度学习计划'!$A24="","",'03_年度学习计划'!$A24)</f>
        <v/>
      </c>
      <c r="B24" s="11" t="str">
        <f>IF($A24="","",'03_年度学习计划'!$D24)</f>
        <v/>
      </c>
      <c r="C24" s="11" t="str">
        <f>IF($A24="","",'03_年度学习计划'!$F24)</f>
        <v/>
      </c>
      <c r="D24" s="11" t="str">
        <f>IF($A24="","",'03_年度学习计划'!$G24)</f>
        <v/>
      </c>
      <c r="E24" s="11" t="str">
        <f>IF($A24="","",'03_年度学习计划'!$E24)</f>
        <v/>
      </c>
      <c r="F24" s="11" t="str">
        <f>IF($A24="","",'03_年度学习计划'!$L24)</f>
        <v/>
      </c>
      <c r="G24" s="12" t="str">
        <f>IF($A24="","",'03_年度学习计划'!$N24)</f>
        <v/>
      </c>
      <c r="H24" s="12" t="str">
        <f>IF($A24="","",'03_年度学习计划'!$O24)</f>
        <v/>
      </c>
      <c r="I24" s="12" t="str">
        <f>IF($A24="","",'03_年度学习计划'!$P24)</f>
        <v/>
      </c>
      <c r="J24" s="11" t="str">
        <f>IF($A24="","",'03_年度学习计划'!$Q24)</f>
        <v/>
      </c>
      <c r="K24" s="11" t="str">
        <f>IF($A24="","",'03_年度学习计划'!$S24)</f>
        <v/>
      </c>
      <c r="L24" s="13" t="str">
        <f t="shared" si="0"/>
        <v/>
      </c>
      <c r="M24" s="13"/>
      <c r="N24" s="13"/>
      <c r="O24" s="13"/>
      <c r="P24" s="14"/>
      <c r="Q24" s="14"/>
      <c r="R24" s="14"/>
      <c r="S24" s="14"/>
      <c r="T24" s="14"/>
    </row>
    <row r="25" spans="1:20" ht="13.9">
      <c r="A25" s="11" t="str">
        <f>IF('03_年度学习计划'!$A25="","",'03_年度学习计划'!$A25)</f>
        <v/>
      </c>
      <c r="B25" s="11" t="str">
        <f>IF($A25="","",'03_年度学习计划'!$D25)</f>
        <v/>
      </c>
      <c r="C25" s="11" t="str">
        <f>IF($A25="","",'03_年度学习计划'!$F25)</f>
        <v/>
      </c>
      <c r="D25" s="11" t="str">
        <f>IF($A25="","",'03_年度学习计划'!$G25)</f>
        <v/>
      </c>
      <c r="E25" s="11" t="str">
        <f>IF($A25="","",'03_年度学习计划'!$E25)</f>
        <v/>
      </c>
      <c r="F25" s="11" t="str">
        <f>IF($A25="","",'03_年度学习计划'!$L25)</f>
        <v/>
      </c>
      <c r="G25" s="12" t="str">
        <f>IF($A25="","",'03_年度学习计划'!$N25)</f>
        <v/>
      </c>
      <c r="H25" s="12" t="str">
        <f>IF($A25="","",'03_年度学习计划'!$O25)</f>
        <v/>
      </c>
      <c r="I25" s="12" t="str">
        <f>IF($A25="","",'03_年度学习计划'!$P25)</f>
        <v/>
      </c>
      <c r="J25" s="11" t="str">
        <f>IF($A25="","",'03_年度学习计划'!$Q25)</f>
        <v/>
      </c>
      <c r="K25" s="11" t="str">
        <f>IF($A25="","",'03_年度学习计划'!$S25)</f>
        <v/>
      </c>
      <c r="L25" s="13" t="str">
        <f t="shared" si="0"/>
        <v/>
      </c>
      <c r="M25" s="13"/>
      <c r="N25" s="13"/>
      <c r="O25" s="13"/>
      <c r="P25" s="14"/>
      <c r="Q25" s="14"/>
      <c r="R25" s="14"/>
      <c r="S25" s="14"/>
      <c r="T25" s="14"/>
    </row>
    <row r="26" spans="1:20" ht="13.9">
      <c r="A26" s="11" t="str">
        <f>IF('03_年度学习计划'!$A26="","",'03_年度学习计划'!$A26)</f>
        <v/>
      </c>
      <c r="B26" s="11" t="str">
        <f>IF($A26="","",'03_年度学习计划'!$D26)</f>
        <v/>
      </c>
      <c r="C26" s="11" t="str">
        <f>IF($A26="","",'03_年度学习计划'!$F26)</f>
        <v/>
      </c>
      <c r="D26" s="11" t="str">
        <f>IF($A26="","",'03_年度学习计划'!$G26)</f>
        <v/>
      </c>
      <c r="E26" s="11" t="str">
        <f>IF($A26="","",'03_年度学习计划'!$E26)</f>
        <v/>
      </c>
      <c r="F26" s="11" t="str">
        <f>IF($A26="","",'03_年度学习计划'!$L26)</f>
        <v/>
      </c>
      <c r="G26" s="12" t="str">
        <f>IF($A26="","",'03_年度学习计划'!$N26)</f>
        <v/>
      </c>
      <c r="H26" s="12" t="str">
        <f>IF($A26="","",'03_年度学习计划'!$O26)</f>
        <v/>
      </c>
      <c r="I26" s="12" t="str">
        <f>IF($A26="","",'03_年度学习计划'!$P26)</f>
        <v/>
      </c>
      <c r="J26" s="11" t="str">
        <f>IF($A26="","",'03_年度学习计划'!$Q26)</f>
        <v/>
      </c>
      <c r="K26" s="11" t="str">
        <f>IF($A26="","",'03_年度学习计划'!$S26)</f>
        <v/>
      </c>
      <c r="L26" s="13" t="str">
        <f t="shared" si="0"/>
        <v/>
      </c>
      <c r="M26" s="13"/>
      <c r="N26" s="13"/>
      <c r="O26" s="13"/>
      <c r="P26" s="14"/>
      <c r="Q26" s="14"/>
      <c r="R26" s="14"/>
      <c r="S26" s="14"/>
      <c r="T26" s="14"/>
    </row>
    <row r="27" spans="1:20" ht="13.9">
      <c r="A27" s="11" t="str">
        <f>IF('03_年度学习计划'!$A27="","",'03_年度学习计划'!$A27)</f>
        <v/>
      </c>
      <c r="B27" s="11" t="str">
        <f>IF($A27="","",'03_年度学习计划'!$D27)</f>
        <v/>
      </c>
      <c r="C27" s="11" t="str">
        <f>IF($A27="","",'03_年度学习计划'!$F27)</f>
        <v/>
      </c>
      <c r="D27" s="11" t="str">
        <f>IF($A27="","",'03_年度学习计划'!$G27)</f>
        <v/>
      </c>
      <c r="E27" s="11" t="str">
        <f>IF($A27="","",'03_年度学习计划'!$E27)</f>
        <v/>
      </c>
      <c r="F27" s="11" t="str">
        <f>IF($A27="","",'03_年度学习计划'!$L27)</f>
        <v/>
      </c>
      <c r="G27" s="12" t="str">
        <f>IF($A27="","",'03_年度学习计划'!$N27)</f>
        <v/>
      </c>
      <c r="H27" s="12" t="str">
        <f>IF($A27="","",'03_年度学习计划'!$O27)</f>
        <v/>
      </c>
      <c r="I27" s="12" t="str">
        <f>IF($A27="","",'03_年度学习计划'!$P27)</f>
        <v/>
      </c>
      <c r="J27" s="11" t="str">
        <f>IF($A27="","",'03_年度学习计划'!$Q27)</f>
        <v/>
      </c>
      <c r="K27" s="11" t="str">
        <f>IF($A27="","",'03_年度学习计划'!$S27)</f>
        <v/>
      </c>
      <c r="L27" s="13" t="str">
        <f t="shared" si="0"/>
        <v/>
      </c>
      <c r="M27" s="13"/>
      <c r="N27" s="13"/>
      <c r="O27" s="13"/>
      <c r="P27" s="14"/>
      <c r="Q27" s="14"/>
      <c r="R27" s="14"/>
      <c r="S27" s="14"/>
      <c r="T27" s="14"/>
    </row>
    <row r="28" spans="1:20" ht="13.9">
      <c r="A28" s="11" t="str">
        <f>IF('03_年度学习计划'!$A28="","",'03_年度学习计划'!$A28)</f>
        <v/>
      </c>
      <c r="B28" s="11" t="str">
        <f>IF($A28="","",'03_年度学习计划'!$D28)</f>
        <v/>
      </c>
      <c r="C28" s="11" t="str">
        <f>IF($A28="","",'03_年度学习计划'!$F28)</f>
        <v/>
      </c>
      <c r="D28" s="11" t="str">
        <f>IF($A28="","",'03_年度学习计划'!$G28)</f>
        <v/>
      </c>
      <c r="E28" s="11" t="str">
        <f>IF($A28="","",'03_年度学习计划'!$E28)</f>
        <v/>
      </c>
      <c r="F28" s="11" t="str">
        <f>IF($A28="","",'03_年度学习计划'!$L28)</f>
        <v/>
      </c>
      <c r="G28" s="12" t="str">
        <f>IF($A28="","",'03_年度学习计划'!$N28)</f>
        <v/>
      </c>
      <c r="H28" s="12" t="str">
        <f>IF($A28="","",'03_年度学习计划'!$O28)</f>
        <v/>
      </c>
      <c r="I28" s="12" t="str">
        <f>IF($A28="","",'03_年度学习计划'!$P28)</f>
        <v/>
      </c>
      <c r="J28" s="11" t="str">
        <f>IF($A28="","",'03_年度学习计划'!$Q28)</f>
        <v/>
      </c>
      <c r="K28" s="11" t="str">
        <f>IF($A28="","",'03_年度学习计划'!$S28)</f>
        <v/>
      </c>
      <c r="L28" s="13" t="str">
        <f t="shared" si="0"/>
        <v/>
      </c>
      <c r="M28" s="13"/>
      <c r="N28" s="13"/>
      <c r="O28" s="13"/>
      <c r="P28" s="14"/>
      <c r="Q28" s="14"/>
      <c r="R28" s="14"/>
      <c r="S28" s="14"/>
      <c r="T28" s="14"/>
    </row>
    <row r="29" spans="1:20" ht="13.9">
      <c r="A29" s="11" t="str">
        <f>IF('03_年度学习计划'!$A29="","",'03_年度学习计划'!$A29)</f>
        <v/>
      </c>
      <c r="B29" s="11" t="str">
        <f>IF($A29="","",'03_年度学习计划'!$D29)</f>
        <v/>
      </c>
      <c r="C29" s="11" t="str">
        <f>IF($A29="","",'03_年度学习计划'!$F29)</f>
        <v/>
      </c>
      <c r="D29" s="11" t="str">
        <f>IF($A29="","",'03_年度学习计划'!$G29)</f>
        <v/>
      </c>
      <c r="E29" s="11" t="str">
        <f>IF($A29="","",'03_年度学习计划'!$E29)</f>
        <v/>
      </c>
      <c r="F29" s="11" t="str">
        <f>IF($A29="","",'03_年度学习计划'!$L29)</f>
        <v/>
      </c>
      <c r="G29" s="12" t="str">
        <f>IF($A29="","",'03_年度学习计划'!$N29)</f>
        <v/>
      </c>
      <c r="H29" s="12" t="str">
        <f>IF($A29="","",'03_年度学习计划'!$O29)</f>
        <v/>
      </c>
      <c r="I29" s="12" t="str">
        <f>IF($A29="","",'03_年度学习计划'!$P29)</f>
        <v/>
      </c>
      <c r="J29" s="11" t="str">
        <f>IF($A29="","",'03_年度学习计划'!$Q29)</f>
        <v/>
      </c>
      <c r="K29" s="11" t="str">
        <f>IF($A29="","",'03_年度学习计划'!$S29)</f>
        <v/>
      </c>
      <c r="L29" s="13" t="str">
        <f t="shared" si="0"/>
        <v/>
      </c>
      <c r="M29" s="13"/>
      <c r="N29" s="13"/>
      <c r="O29" s="13"/>
      <c r="P29" s="14"/>
      <c r="Q29" s="14"/>
      <c r="R29" s="14"/>
      <c r="S29" s="14"/>
      <c r="T29" s="14"/>
    </row>
    <row r="30" spans="1:20" ht="13.9">
      <c r="A30" s="11" t="str">
        <f>IF('03_年度学习计划'!$A30="","",'03_年度学习计划'!$A30)</f>
        <v/>
      </c>
      <c r="B30" s="11" t="str">
        <f>IF($A30="","",'03_年度学习计划'!$D30)</f>
        <v/>
      </c>
      <c r="C30" s="11" t="str">
        <f>IF($A30="","",'03_年度学习计划'!$F30)</f>
        <v/>
      </c>
      <c r="D30" s="11" t="str">
        <f>IF($A30="","",'03_年度学习计划'!$G30)</f>
        <v/>
      </c>
      <c r="E30" s="11" t="str">
        <f>IF($A30="","",'03_年度学习计划'!$E30)</f>
        <v/>
      </c>
      <c r="F30" s="11" t="str">
        <f>IF($A30="","",'03_年度学习计划'!$L30)</f>
        <v/>
      </c>
      <c r="G30" s="12" t="str">
        <f>IF($A30="","",'03_年度学习计划'!$N30)</f>
        <v/>
      </c>
      <c r="H30" s="12" t="str">
        <f>IF($A30="","",'03_年度学习计划'!$O30)</f>
        <v/>
      </c>
      <c r="I30" s="12" t="str">
        <f>IF($A30="","",'03_年度学习计划'!$P30)</f>
        <v/>
      </c>
      <c r="J30" s="11" t="str">
        <f>IF($A30="","",'03_年度学习计划'!$Q30)</f>
        <v/>
      </c>
      <c r="K30" s="11" t="str">
        <f>IF($A30="","",'03_年度学习计划'!$S30)</f>
        <v/>
      </c>
      <c r="L30" s="13" t="str">
        <f t="shared" si="0"/>
        <v/>
      </c>
      <c r="M30" s="13"/>
      <c r="N30" s="13"/>
      <c r="O30" s="13"/>
      <c r="P30" s="14"/>
      <c r="Q30" s="14"/>
      <c r="R30" s="14"/>
      <c r="S30" s="14"/>
      <c r="T30" s="14"/>
    </row>
    <row r="31" spans="1:20" ht="13.9">
      <c r="A31" s="11" t="str">
        <f>IF('03_年度学习计划'!$A31="","",'03_年度学习计划'!$A31)</f>
        <v/>
      </c>
      <c r="B31" s="11" t="str">
        <f>IF($A31="","",'03_年度学习计划'!$D31)</f>
        <v/>
      </c>
      <c r="C31" s="11" t="str">
        <f>IF($A31="","",'03_年度学习计划'!$F31)</f>
        <v/>
      </c>
      <c r="D31" s="11" t="str">
        <f>IF($A31="","",'03_年度学习计划'!$G31)</f>
        <v/>
      </c>
      <c r="E31" s="11" t="str">
        <f>IF($A31="","",'03_年度学习计划'!$E31)</f>
        <v/>
      </c>
      <c r="F31" s="11" t="str">
        <f>IF($A31="","",'03_年度学习计划'!$L31)</f>
        <v/>
      </c>
      <c r="G31" s="12" t="str">
        <f>IF($A31="","",'03_年度学习计划'!$N31)</f>
        <v/>
      </c>
      <c r="H31" s="12" t="str">
        <f>IF($A31="","",'03_年度学习计划'!$O31)</f>
        <v/>
      </c>
      <c r="I31" s="12" t="str">
        <f>IF($A31="","",'03_年度学习计划'!$P31)</f>
        <v/>
      </c>
      <c r="J31" s="11" t="str">
        <f>IF($A31="","",'03_年度学习计划'!$Q31)</f>
        <v/>
      </c>
      <c r="K31" s="11" t="str">
        <f>IF($A31="","",'03_年度学习计划'!$S31)</f>
        <v/>
      </c>
      <c r="L31" s="13" t="str">
        <f t="shared" si="0"/>
        <v/>
      </c>
      <c r="M31" s="13"/>
      <c r="N31" s="13"/>
      <c r="O31" s="13"/>
      <c r="P31" s="14"/>
      <c r="Q31" s="14"/>
      <c r="R31" s="14"/>
      <c r="S31" s="14"/>
      <c r="T31" s="14"/>
    </row>
    <row r="32" spans="1:20" ht="13.9">
      <c r="A32" s="11" t="str">
        <f>IF('03_年度学习计划'!$A32="","",'03_年度学习计划'!$A32)</f>
        <v/>
      </c>
      <c r="B32" s="11" t="str">
        <f>IF($A32="","",'03_年度学习计划'!$D32)</f>
        <v/>
      </c>
      <c r="C32" s="11" t="str">
        <f>IF($A32="","",'03_年度学习计划'!$F32)</f>
        <v/>
      </c>
      <c r="D32" s="11" t="str">
        <f>IF($A32="","",'03_年度学习计划'!$G32)</f>
        <v/>
      </c>
      <c r="E32" s="11" t="str">
        <f>IF($A32="","",'03_年度学习计划'!$E32)</f>
        <v/>
      </c>
      <c r="F32" s="11" t="str">
        <f>IF($A32="","",'03_年度学习计划'!$L32)</f>
        <v/>
      </c>
      <c r="G32" s="12" t="str">
        <f>IF($A32="","",'03_年度学习计划'!$N32)</f>
        <v/>
      </c>
      <c r="H32" s="12" t="str">
        <f>IF($A32="","",'03_年度学习计划'!$O32)</f>
        <v/>
      </c>
      <c r="I32" s="12" t="str">
        <f>IF($A32="","",'03_年度学习计划'!$P32)</f>
        <v/>
      </c>
      <c r="J32" s="11" t="str">
        <f>IF($A32="","",'03_年度学习计划'!$Q32)</f>
        <v/>
      </c>
      <c r="K32" s="11" t="str">
        <f>IF($A32="","",'03_年度学习计划'!$S32)</f>
        <v/>
      </c>
      <c r="L32" s="13" t="str">
        <f t="shared" si="0"/>
        <v/>
      </c>
      <c r="M32" s="13"/>
      <c r="N32" s="13"/>
      <c r="O32" s="13"/>
      <c r="P32" s="14"/>
      <c r="Q32" s="14"/>
      <c r="R32" s="14"/>
      <c r="S32" s="14"/>
      <c r="T32" s="14"/>
    </row>
    <row r="33" spans="1:20" ht="13.9">
      <c r="A33" s="11" t="str">
        <f>IF('03_年度学习计划'!$A33="","",'03_年度学习计划'!$A33)</f>
        <v/>
      </c>
      <c r="B33" s="11" t="str">
        <f>IF($A33="","",'03_年度学习计划'!$D33)</f>
        <v/>
      </c>
      <c r="C33" s="11" t="str">
        <f>IF($A33="","",'03_年度学习计划'!$F33)</f>
        <v/>
      </c>
      <c r="D33" s="11" t="str">
        <f>IF($A33="","",'03_年度学习计划'!$G33)</f>
        <v/>
      </c>
      <c r="E33" s="11" t="str">
        <f>IF($A33="","",'03_年度学习计划'!$E33)</f>
        <v/>
      </c>
      <c r="F33" s="11" t="str">
        <f>IF($A33="","",'03_年度学习计划'!$L33)</f>
        <v/>
      </c>
      <c r="G33" s="12" t="str">
        <f>IF($A33="","",'03_年度学习计划'!$N33)</f>
        <v/>
      </c>
      <c r="H33" s="12" t="str">
        <f>IF($A33="","",'03_年度学习计划'!$O33)</f>
        <v/>
      </c>
      <c r="I33" s="12" t="str">
        <f>IF($A33="","",'03_年度学习计划'!$P33)</f>
        <v/>
      </c>
      <c r="J33" s="11" t="str">
        <f>IF($A33="","",'03_年度学习计划'!$Q33)</f>
        <v/>
      </c>
      <c r="K33" s="11" t="str">
        <f>IF($A33="","",'03_年度学习计划'!$S33)</f>
        <v/>
      </c>
      <c r="L33" s="13" t="str">
        <f t="shared" si="0"/>
        <v/>
      </c>
      <c r="M33" s="13"/>
      <c r="N33" s="13"/>
      <c r="O33" s="13"/>
      <c r="P33" s="14"/>
      <c r="Q33" s="14"/>
      <c r="R33" s="14"/>
      <c r="S33" s="14"/>
      <c r="T33" s="14"/>
    </row>
    <row r="34" spans="1:20" ht="13.9">
      <c r="A34" s="11" t="str">
        <f>IF('03_年度学习计划'!$A34="","",'03_年度学习计划'!$A34)</f>
        <v/>
      </c>
      <c r="B34" s="11" t="str">
        <f>IF($A34="","",'03_年度学习计划'!$D34)</f>
        <v/>
      </c>
      <c r="C34" s="11" t="str">
        <f>IF($A34="","",'03_年度学习计划'!$F34)</f>
        <v/>
      </c>
      <c r="D34" s="11" t="str">
        <f>IF($A34="","",'03_年度学习计划'!$G34)</f>
        <v/>
      </c>
      <c r="E34" s="11" t="str">
        <f>IF($A34="","",'03_年度学习计划'!$E34)</f>
        <v/>
      </c>
      <c r="F34" s="11" t="str">
        <f>IF($A34="","",'03_年度学习计划'!$L34)</f>
        <v/>
      </c>
      <c r="G34" s="12" t="str">
        <f>IF($A34="","",'03_年度学习计划'!$N34)</f>
        <v/>
      </c>
      <c r="H34" s="12" t="str">
        <f>IF($A34="","",'03_年度学习计划'!$O34)</f>
        <v/>
      </c>
      <c r="I34" s="12" t="str">
        <f>IF($A34="","",'03_年度学习计划'!$P34)</f>
        <v/>
      </c>
      <c r="J34" s="11" t="str">
        <f>IF($A34="","",'03_年度学习计划'!$Q34)</f>
        <v/>
      </c>
      <c r="K34" s="11" t="str">
        <f>IF($A34="","",'03_年度学习计划'!$S34)</f>
        <v/>
      </c>
      <c r="L34" s="13" t="str">
        <f t="shared" ref="L34:L65" si="1">IF($A34="","","未开始")</f>
        <v/>
      </c>
      <c r="M34" s="13"/>
      <c r="N34" s="13"/>
      <c r="O34" s="13"/>
      <c r="P34" s="14"/>
      <c r="Q34" s="14"/>
      <c r="R34" s="14"/>
      <c r="S34" s="14"/>
      <c r="T34" s="14"/>
    </row>
    <row r="35" spans="1:20" ht="13.9">
      <c r="A35" s="11" t="str">
        <f>IF('03_年度学习计划'!$A35="","",'03_年度学习计划'!$A35)</f>
        <v/>
      </c>
      <c r="B35" s="11" t="str">
        <f>IF($A35="","",'03_年度学习计划'!$D35)</f>
        <v/>
      </c>
      <c r="C35" s="11" t="str">
        <f>IF($A35="","",'03_年度学习计划'!$F35)</f>
        <v/>
      </c>
      <c r="D35" s="11" t="str">
        <f>IF($A35="","",'03_年度学习计划'!$G35)</f>
        <v/>
      </c>
      <c r="E35" s="11" t="str">
        <f>IF($A35="","",'03_年度学习计划'!$E35)</f>
        <v/>
      </c>
      <c r="F35" s="11" t="str">
        <f>IF($A35="","",'03_年度学习计划'!$L35)</f>
        <v/>
      </c>
      <c r="G35" s="12" t="str">
        <f>IF($A35="","",'03_年度学习计划'!$N35)</f>
        <v/>
      </c>
      <c r="H35" s="12" t="str">
        <f>IF($A35="","",'03_年度学习计划'!$O35)</f>
        <v/>
      </c>
      <c r="I35" s="12" t="str">
        <f>IF($A35="","",'03_年度学习计划'!$P35)</f>
        <v/>
      </c>
      <c r="J35" s="11" t="str">
        <f>IF($A35="","",'03_年度学习计划'!$Q35)</f>
        <v/>
      </c>
      <c r="K35" s="11" t="str">
        <f>IF($A35="","",'03_年度学习计划'!$S35)</f>
        <v/>
      </c>
      <c r="L35" s="13" t="str">
        <f t="shared" si="1"/>
        <v/>
      </c>
      <c r="M35" s="13"/>
      <c r="N35" s="13"/>
      <c r="O35" s="13"/>
      <c r="P35" s="14"/>
      <c r="Q35" s="14"/>
      <c r="R35" s="14"/>
      <c r="S35" s="14"/>
      <c r="T35" s="14"/>
    </row>
    <row r="36" spans="1:20" ht="13.9">
      <c r="A36" s="11" t="str">
        <f>IF('03_年度学习计划'!$A36="","",'03_年度学习计划'!$A36)</f>
        <v/>
      </c>
      <c r="B36" s="11" t="str">
        <f>IF($A36="","",'03_年度学习计划'!$D36)</f>
        <v/>
      </c>
      <c r="C36" s="11" t="str">
        <f>IF($A36="","",'03_年度学习计划'!$F36)</f>
        <v/>
      </c>
      <c r="D36" s="11" t="str">
        <f>IF($A36="","",'03_年度学习计划'!$G36)</f>
        <v/>
      </c>
      <c r="E36" s="11" t="str">
        <f>IF($A36="","",'03_年度学习计划'!$E36)</f>
        <v/>
      </c>
      <c r="F36" s="11" t="str">
        <f>IF($A36="","",'03_年度学习计划'!$L36)</f>
        <v/>
      </c>
      <c r="G36" s="12" t="str">
        <f>IF($A36="","",'03_年度学习计划'!$N36)</f>
        <v/>
      </c>
      <c r="H36" s="12" t="str">
        <f>IF($A36="","",'03_年度学习计划'!$O36)</f>
        <v/>
      </c>
      <c r="I36" s="12" t="str">
        <f>IF($A36="","",'03_年度学习计划'!$P36)</f>
        <v/>
      </c>
      <c r="J36" s="11" t="str">
        <f>IF($A36="","",'03_年度学习计划'!$Q36)</f>
        <v/>
      </c>
      <c r="K36" s="11" t="str">
        <f>IF($A36="","",'03_年度学习计划'!$S36)</f>
        <v/>
      </c>
      <c r="L36" s="13" t="str">
        <f t="shared" si="1"/>
        <v/>
      </c>
      <c r="M36" s="13"/>
      <c r="N36" s="13"/>
      <c r="O36" s="13"/>
      <c r="P36" s="14"/>
      <c r="Q36" s="14"/>
      <c r="R36" s="14"/>
      <c r="S36" s="14"/>
      <c r="T36" s="14"/>
    </row>
    <row r="37" spans="1:20" ht="13.9">
      <c r="A37" s="11" t="str">
        <f>IF('03_年度学习计划'!$A37="","",'03_年度学习计划'!$A37)</f>
        <v/>
      </c>
      <c r="B37" s="11" t="str">
        <f>IF($A37="","",'03_年度学习计划'!$D37)</f>
        <v/>
      </c>
      <c r="C37" s="11" t="str">
        <f>IF($A37="","",'03_年度学习计划'!$F37)</f>
        <v/>
      </c>
      <c r="D37" s="11" t="str">
        <f>IF($A37="","",'03_年度学习计划'!$G37)</f>
        <v/>
      </c>
      <c r="E37" s="11" t="str">
        <f>IF($A37="","",'03_年度学习计划'!$E37)</f>
        <v/>
      </c>
      <c r="F37" s="11" t="str">
        <f>IF($A37="","",'03_年度学习计划'!$L37)</f>
        <v/>
      </c>
      <c r="G37" s="12" t="str">
        <f>IF($A37="","",'03_年度学习计划'!$N37)</f>
        <v/>
      </c>
      <c r="H37" s="12" t="str">
        <f>IF($A37="","",'03_年度学习计划'!$O37)</f>
        <v/>
      </c>
      <c r="I37" s="12" t="str">
        <f>IF($A37="","",'03_年度学习计划'!$P37)</f>
        <v/>
      </c>
      <c r="J37" s="11" t="str">
        <f>IF($A37="","",'03_年度学习计划'!$Q37)</f>
        <v/>
      </c>
      <c r="K37" s="11" t="str">
        <f>IF($A37="","",'03_年度学习计划'!$S37)</f>
        <v/>
      </c>
      <c r="L37" s="13" t="str">
        <f t="shared" si="1"/>
        <v/>
      </c>
      <c r="M37" s="13"/>
      <c r="N37" s="13"/>
      <c r="O37" s="13"/>
      <c r="P37" s="14"/>
      <c r="Q37" s="14"/>
      <c r="R37" s="14"/>
      <c r="S37" s="14"/>
      <c r="T37" s="14"/>
    </row>
    <row r="38" spans="1:20" ht="13.9">
      <c r="A38" s="11" t="str">
        <f>IF('03_年度学习计划'!$A38="","",'03_年度学习计划'!$A38)</f>
        <v/>
      </c>
      <c r="B38" s="11" t="str">
        <f>IF($A38="","",'03_年度学习计划'!$D38)</f>
        <v/>
      </c>
      <c r="C38" s="11" t="str">
        <f>IF($A38="","",'03_年度学习计划'!$F38)</f>
        <v/>
      </c>
      <c r="D38" s="11" t="str">
        <f>IF($A38="","",'03_年度学习计划'!$G38)</f>
        <v/>
      </c>
      <c r="E38" s="11" t="str">
        <f>IF($A38="","",'03_年度学习计划'!$E38)</f>
        <v/>
      </c>
      <c r="F38" s="11" t="str">
        <f>IF($A38="","",'03_年度学习计划'!$L38)</f>
        <v/>
      </c>
      <c r="G38" s="12" t="str">
        <f>IF($A38="","",'03_年度学习计划'!$N38)</f>
        <v/>
      </c>
      <c r="H38" s="12" t="str">
        <f>IF($A38="","",'03_年度学习计划'!$O38)</f>
        <v/>
      </c>
      <c r="I38" s="12" t="str">
        <f>IF($A38="","",'03_年度学习计划'!$P38)</f>
        <v/>
      </c>
      <c r="J38" s="11" t="str">
        <f>IF($A38="","",'03_年度学习计划'!$Q38)</f>
        <v/>
      </c>
      <c r="K38" s="11" t="str">
        <f>IF($A38="","",'03_年度学习计划'!$S38)</f>
        <v/>
      </c>
      <c r="L38" s="13" t="str">
        <f t="shared" si="1"/>
        <v/>
      </c>
      <c r="M38" s="13"/>
      <c r="N38" s="13"/>
      <c r="O38" s="13"/>
      <c r="P38" s="14"/>
      <c r="Q38" s="14"/>
      <c r="R38" s="14"/>
      <c r="S38" s="14"/>
      <c r="T38" s="14"/>
    </row>
    <row r="39" spans="1:20" ht="13.9">
      <c r="A39" s="11" t="str">
        <f>IF('03_年度学习计划'!$A39="","",'03_年度学习计划'!$A39)</f>
        <v/>
      </c>
      <c r="B39" s="11" t="str">
        <f>IF($A39="","",'03_年度学习计划'!$D39)</f>
        <v/>
      </c>
      <c r="C39" s="11" t="str">
        <f>IF($A39="","",'03_年度学习计划'!$F39)</f>
        <v/>
      </c>
      <c r="D39" s="11" t="str">
        <f>IF($A39="","",'03_年度学习计划'!$G39)</f>
        <v/>
      </c>
      <c r="E39" s="11" t="str">
        <f>IF($A39="","",'03_年度学习计划'!$E39)</f>
        <v/>
      </c>
      <c r="F39" s="11" t="str">
        <f>IF($A39="","",'03_年度学习计划'!$L39)</f>
        <v/>
      </c>
      <c r="G39" s="12" t="str">
        <f>IF($A39="","",'03_年度学习计划'!$N39)</f>
        <v/>
      </c>
      <c r="H39" s="12" t="str">
        <f>IF($A39="","",'03_年度学习计划'!$O39)</f>
        <v/>
      </c>
      <c r="I39" s="12" t="str">
        <f>IF($A39="","",'03_年度学习计划'!$P39)</f>
        <v/>
      </c>
      <c r="J39" s="11" t="str">
        <f>IF($A39="","",'03_年度学习计划'!$Q39)</f>
        <v/>
      </c>
      <c r="K39" s="11" t="str">
        <f>IF($A39="","",'03_年度学习计划'!$S39)</f>
        <v/>
      </c>
      <c r="L39" s="13" t="str">
        <f t="shared" si="1"/>
        <v/>
      </c>
      <c r="M39" s="13"/>
      <c r="N39" s="13"/>
      <c r="O39" s="13"/>
      <c r="P39" s="14"/>
      <c r="Q39" s="14"/>
      <c r="R39" s="14"/>
      <c r="S39" s="14"/>
      <c r="T39" s="14"/>
    </row>
    <row r="40" spans="1:20" ht="13.9">
      <c r="A40" s="11" t="str">
        <f>IF('03_年度学习计划'!$A40="","",'03_年度学习计划'!$A40)</f>
        <v/>
      </c>
      <c r="B40" s="11" t="str">
        <f>IF($A40="","",'03_年度学习计划'!$D40)</f>
        <v/>
      </c>
      <c r="C40" s="11" t="str">
        <f>IF($A40="","",'03_年度学习计划'!$F40)</f>
        <v/>
      </c>
      <c r="D40" s="11" t="str">
        <f>IF($A40="","",'03_年度学习计划'!$G40)</f>
        <v/>
      </c>
      <c r="E40" s="11" t="str">
        <f>IF($A40="","",'03_年度学习计划'!$E40)</f>
        <v/>
      </c>
      <c r="F40" s="11" t="str">
        <f>IF($A40="","",'03_年度学习计划'!$L40)</f>
        <v/>
      </c>
      <c r="G40" s="12" t="str">
        <f>IF($A40="","",'03_年度学习计划'!$N40)</f>
        <v/>
      </c>
      <c r="H40" s="12" t="str">
        <f>IF($A40="","",'03_年度学习计划'!$O40)</f>
        <v/>
      </c>
      <c r="I40" s="12" t="str">
        <f>IF($A40="","",'03_年度学习计划'!$P40)</f>
        <v/>
      </c>
      <c r="J40" s="11" t="str">
        <f>IF($A40="","",'03_年度学习计划'!$Q40)</f>
        <v/>
      </c>
      <c r="K40" s="11" t="str">
        <f>IF($A40="","",'03_年度学习计划'!$S40)</f>
        <v/>
      </c>
      <c r="L40" s="13" t="str">
        <f t="shared" si="1"/>
        <v/>
      </c>
      <c r="M40" s="13"/>
      <c r="N40" s="13"/>
      <c r="O40" s="13"/>
      <c r="P40" s="14"/>
      <c r="Q40" s="14"/>
      <c r="R40" s="14"/>
      <c r="S40" s="14"/>
      <c r="T40" s="14"/>
    </row>
    <row r="41" spans="1:20" ht="13.9">
      <c r="A41" s="11" t="str">
        <f>IF('03_年度学习计划'!$A41="","",'03_年度学习计划'!$A41)</f>
        <v/>
      </c>
      <c r="B41" s="11" t="str">
        <f>IF($A41="","",'03_年度学习计划'!$D41)</f>
        <v/>
      </c>
      <c r="C41" s="11" t="str">
        <f>IF($A41="","",'03_年度学习计划'!$F41)</f>
        <v/>
      </c>
      <c r="D41" s="11" t="str">
        <f>IF($A41="","",'03_年度学习计划'!$G41)</f>
        <v/>
      </c>
      <c r="E41" s="11" t="str">
        <f>IF($A41="","",'03_年度学习计划'!$E41)</f>
        <v/>
      </c>
      <c r="F41" s="11" t="str">
        <f>IF($A41="","",'03_年度学习计划'!$L41)</f>
        <v/>
      </c>
      <c r="G41" s="12" t="str">
        <f>IF($A41="","",'03_年度学习计划'!$N41)</f>
        <v/>
      </c>
      <c r="H41" s="12" t="str">
        <f>IF($A41="","",'03_年度学习计划'!$O41)</f>
        <v/>
      </c>
      <c r="I41" s="12" t="str">
        <f>IF($A41="","",'03_年度学习计划'!$P41)</f>
        <v/>
      </c>
      <c r="J41" s="11" t="str">
        <f>IF($A41="","",'03_年度学习计划'!$Q41)</f>
        <v/>
      </c>
      <c r="K41" s="11" t="str">
        <f>IF($A41="","",'03_年度学习计划'!$S41)</f>
        <v/>
      </c>
      <c r="L41" s="13" t="str">
        <f t="shared" si="1"/>
        <v/>
      </c>
      <c r="M41" s="13"/>
      <c r="N41" s="13"/>
      <c r="O41" s="13"/>
      <c r="P41" s="14"/>
      <c r="Q41" s="14"/>
      <c r="R41" s="14"/>
      <c r="S41" s="14"/>
      <c r="T41" s="14"/>
    </row>
    <row r="42" spans="1:20" ht="13.9">
      <c r="A42" s="11" t="str">
        <f>IF('03_年度学习计划'!$A42="","",'03_年度学习计划'!$A42)</f>
        <v/>
      </c>
      <c r="B42" s="11" t="str">
        <f>IF($A42="","",'03_年度学习计划'!$D42)</f>
        <v/>
      </c>
      <c r="C42" s="11" t="str">
        <f>IF($A42="","",'03_年度学习计划'!$F42)</f>
        <v/>
      </c>
      <c r="D42" s="11" t="str">
        <f>IF($A42="","",'03_年度学习计划'!$G42)</f>
        <v/>
      </c>
      <c r="E42" s="11" t="str">
        <f>IF($A42="","",'03_年度学习计划'!$E42)</f>
        <v/>
      </c>
      <c r="F42" s="11" t="str">
        <f>IF($A42="","",'03_年度学习计划'!$L42)</f>
        <v/>
      </c>
      <c r="G42" s="12" t="str">
        <f>IF($A42="","",'03_年度学习计划'!$N42)</f>
        <v/>
      </c>
      <c r="H42" s="12" t="str">
        <f>IF($A42="","",'03_年度学习计划'!$O42)</f>
        <v/>
      </c>
      <c r="I42" s="12" t="str">
        <f>IF($A42="","",'03_年度学习计划'!$P42)</f>
        <v/>
      </c>
      <c r="J42" s="11" t="str">
        <f>IF($A42="","",'03_年度学习计划'!$Q42)</f>
        <v/>
      </c>
      <c r="K42" s="11" t="str">
        <f>IF($A42="","",'03_年度学习计划'!$S42)</f>
        <v/>
      </c>
      <c r="L42" s="13" t="str">
        <f t="shared" si="1"/>
        <v/>
      </c>
      <c r="M42" s="13"/>
      <c r="N42" s="13"/>
      <c r="O42" s="13"/>
      <c r="P42" s="14"/>
      <c r="Q42" s="14"/>
      <c r="R42" s="14"/>
      <c r="S42" s="14"/>
      <c r="T42" s="14"/>
    </row>
    <row r="43" spans="1:20" ht="13.9">
      <c r="A43" s="11" t="str">
        <f>IF('03_年度学习计划'!$A43="","",'03_年度学习计划'!$A43)</f>
        <v/>
      </c>
      <c r="B43" s="11" t="str">
        <f>IF($A43="","",'03_年度学习计划'!$D43)</f>
        <v/>
      </c>
      <c r="C43" s="11" t="str">
        <f>IF($A43="","",'03_年度学习计划'!$F43)</f>
        <v/>
      </c>
      <c r="D43" s="11" t="str">
        <f>IF($A43="","",'03_年度学习计划'!$G43)</f>
        <v/>
      </c>
      <c r="E43" s="11" t="str">
        <f>IF($A43="","",'03_年度学习计划'!$E43)</f>
        <v/>
      </c>
      <c r="F43" s="11" t="str">
        <f>IF($A43="","",'03_年度学习计划'!$L43)</f>
        <v/>
      </c>
      <c r="G43" s="12" t="str">
        <f>IF($A43="","",'03_年度学习计划'!$N43)</f>
        <v/>
      </c>
      <c r="H43" s="12" t="str">
        <f>IF($A43="","",'03_年度学习计划'!$O43)</f>
        <v/>
      </c>
      <c r="I43" s="12" t="str">
        <f>IF($A43="","",'03_年度学习计划'!$P43)</f>
        <v/>
      </c>
      <c r="J43" s="11" t="str">
        <f>IF($A43="","",'03_年度学习计划'!$Q43)</f>
        <v/>
      </c>
      <c r="K43" s="11" t="str">
        <f>IF($A43="","",'03_年度学习计划'!$S43)</f>
        <v/>
      </c>
      <c r="L43" s="13" t="str">
        <f t="shared" si="1"/>
        <v/>
      </c>
      <c r="M43" s="13"/>
      <c r="N43" s="13"/>
      <c r="O43" s="13"/>
      <c r="P43" s="14"/>
      <c r="Q43" s="14"/>
      <c r="R43" s="14"/>
      <c r="S43" s="14"/>
      <c r="T43" s="14"/>
    </row>
    <row r="44" spans="1:20" ht="13.9">
      <c r="A44" s="11" t="str">
        <f>IF('03_年度学习计划'!$A44="","",'03_年度学习计划'!$A44)</f>
        <v/>
      </c>
      <c r="B44" s="11" t="str">
        <f>IF($A44="","",'03_年度学习计划'!$D44)</f>
        <v/>
      </c>
      <c r="C44" s="11" t="str">
        <f>IF($A44="","",'03_年度学习计划'!$F44)</f>
        <v/>
      </c>
      <c r="D44" s="11" t="str">
        <f>IF($A44="","",'03_年度学习计划'!$G44)</f>
        <v/>
      </c>
      <c r="E44" s="11" t="str">
        <f>IF($A44="","",'03_年度学习计划'!$E44)</f>
        <v/>
      </c>
      <c r="F44" s="11" t="str">
        <f>IF($A44="","",'03_年度学习计划'!$L44)</f>
        <v/>
      </c>
      <c r="G44" s="12" t="str">
        <f>IF($A44="","",'03_年度学习计划'!$N44)</f>
        <v/>
      </c>
      <c r="H44" s="12" t="str">
        <f>IF($A44="","",'03_年度学习计划'!$O44)</f>
        <v/>
      </c>
      <c r="I44" s="12" t="str">
        <f>IF($A44="","",'03_年度学习计划'!$P44)</f>
        <v/>
      </c>
      <c r="J44" s="11" t="str">
        <f>IF($A44="","",'03_年度学习计划'!$Q44)</f>
        <v/>
      </c>
      <c r="K44" s="11" t="str">
        <f>IF($A44="","",'03_年度学习计划'!$S44)</f>
        <v/>
      </c>
      <c r="L44" s="13" t="str">
        <f t="shared" si="1"/>
        <v/>
      </c>
      <c r="M44" s="13"/>
      <c r="N44" s="13"/>
      <c r="O44" s="13"/>
      <c r="P44" s="14"/>
      <c r="Q44" s="14"/>
      <c r="R44" s="14"/>
      <c r="S44" s="14"/>
      <c r="T44" s="14"/>
    </row>
    <row r="45" spans="1:20" ht="13.9">
      <c r="A45" s="11" t="str">
        <f>IF('03_年度学习计划'!$A45="","",'03_年度学习计划'!$A45)</f>
        <v/>
      </c>
      <c r="B45" s="11" t="str">
        <f>IF($A45="","",'03_年度学习计划'!$D45)</f>
        <v/>
      </c>
      <c r="C45" s="11" t="str">
        <f>IF($A45="","",'03_年度学习计划'!$F45)</f>
        <v/>
      </c>
      <c r="D45" s="11" t="str">
        <f>IF($A45="","",'03_年度学习计划'!$G45)</f>
        <v/>
      </c>
      <c r="E45" s="11" t="str">
        <f>IF($A45="","",'03_年度学习计划'!$E45)</f>
        <v/>
      </c>
      <c r="F45" s="11" t="str">
        <f>IF($A45="","",'03_年度学习计划'!$L45)</f>
        <v/>
      </c>
      <c r="G45" s="12" t="str">
        <f>IF($A45="","",'03_年度学习计划'!$N45)</f>
        <v/>
      </c>
      <c r="H45" s="12" t="str">
        <f>IF($A45="","",'03_年度学习计划'!$O45)</f>
        <v/>
      </c>
      <c r="I45" s="12" t="str">
        <f>IF($A45="","",'03_年度学习计划'!$P45)</f>
        <v/>
      </c>
      <c r="J45" s="11" t="str">
        <f>IF($A45="","",'03_年度学习计划'!$Q45)</f>
        <v/>
      </c>
      <c r="K45" s="11" t="str">
        <f>IF($A45="","",'03_年度学习计划'!$S45)</f>
        <v/>
      </c>
      <c r="L45" s="13" t="str">
        <f t="shared" si="1"/>
        <v/>
      </c>
      <c r="M45" s="13"/>
      <c r="N45" s="13"/>
      <c r="O45" s="13"/>
      <c r="P45" s="14"/>
      <c r="Q45" s="14"/>
      <c r="R45" s="14"/>
      <c r="S45" s="14"/>
      <c r="T45" s="14"/>
    </row>
    <row r="46" spans="1:20" ht="13.9">
      <c r="A46" s="11" t="str">
        <f>IF('03_年度学习计划'!$A46="","",'03_年度学习计划'!$A46)</f>
        <v/>
      </c>
      <c r="B46" s="11" t="str">
        <f>IF($A46="","",'03_年度学习计划'!$D46)</f>
        <v/>
      </c>
      <c r="C46" s="11" t="str">
        <f>IF($A46="","",'03_年度学习计划'!$F46)</f>
        <v/>
      </c>
      <c r="D46" s="11" t="str">
        <f>IF($A46="","",'03_年度学习计划'!$G46)</f>
        <v/>
      </c>
      <c r="E46" s="11" t="str">
        <f>IF($A46="","",'03_年度学习计划'!$E46)</f>
        <v/>
      </c>
      <c r="F46" s="11" t="str">
        <f>IF($A46="","",'03_年度学习计划'!$L46)</f>
        <v/>
      </c>
      <c r="G46" s="12" t="str">
        <f>IF($A46="","",'03_年度学习计划'!$N46)</f>
        <v/>
      </c>
      <c r="H46" s="12" t="str">
        <f>IF($A46="","",'03_年度学习计划'!$O46)</f>
        <v/>
      </c>
      <c r="I46" s="12" t="str">
        <f>IF($A46="","",'03_年度学习计划'!$P46)</f>
        <v/>
      </c>
      <c r="J46" s="11" t="str">
        <f>IF($A46="","",'03_年度学习计划'!$Q46)</f>
        <v/>
      </c>
      <c r="K46" s="11" t="str">
        <f>IF($A46="","",'03_年度学习计划'!$S46)</f>
        <v/>
      </c>
      <c r="L46" s="13" t="str">
        <f t="shared" si="1"/>
        <v/>
      </c>
      <c r="M46" s="13"/>
      <c r="N46" s="13"/>
      <c r="O46" s="13"/>
      <c r="P46" s="14"/>
      <c r="Q46" s="14"/>
      <c r="R46" s="14"/>
      <c r="S46" s="14"/>
      <c r="T46" s="14"/>
    </row>
    <row r="47" spans="1:20" ht="13.9">
      <c r="A47" s="11" t="str">
        <f>IF('03_年度学习计划'!$A47="","",'03_年度学习计划'!$A47)</f>
        <v/>
      </c>
      <c r="B47" s="11" t="str">
        <f>IF($A47="","",'03_年度学习计划'!$D47)</f>
        <v/>
      </c>
      <c r="C47" s="11" t="str">
        <f>IF($A47="","",'03_年度学习计划'!$F47)</f>
        <v/>
      </c>
      <c r="D47" s="11" t="str">
        <f>IF($A47="","",'03_年度学习计划'!$G47)</f>
        <v/>
      </c>
      <c r="E47" s="11" t="str">
        <f>IF($A47="","",'03_年度学习计划'!$E47)</f>
        <v/>
      </c>
      <c r="F47" s="11" t="str">
        <f>IF($A47="","",'03_年度学习计划'!$L47)</f>
        <v/>
      </c>
      <c r="G47" s="12" t="str">
        <f>IF($A47="","",'03_年度学习计划'!$N47)</f>
        <v/>
      </c>
      <c r="H47" s="12" t="str">
        <f>IF($A47="","",'03_年度学习计划'!$O47)</f>
        <v/>
      </c>
      <c r="I47" s="12" t="str">
        <f>IF($A47="","",'03_年度学习计划'!$P47)</f>
        <v/>
      </c>
      <c r="J47" s="11" t="str">
        <f>IF($A47="","",'03_年度学习计划'!$Q47)</f>
        <v/>
      </c>
      <c r="K47" s="11" t="str">
        <f>IF($A47="","",'03_年度学习计划'!$S47)</f>
        <v/>
      </c>
      <c r="L47" s="13" t="str">
        <f t="shared" si="1"/>
        <v/>
      </c>
      <c r="M47" s="13"/>
      <c r="N47" s="13"/>
      <c r="O47" s="13"/>
      <c r="P47" s="14"/>
      <c r="Q47" s="14"/>
      <c r="R47" s="14"/>
      <c r="S47" s="14"/>
      <c r="T47" s="14"/>
    </row>
    <row r="48" spans="1:20" ht="13.9">
      <c r="A48" s="11" t="str">
        <f>IF('03_年度学习计划'!$A48="","",'03_年度学习计划'!$A48)</f>
        <v/>
      </c>
      <c r="B48" s="11" t="str">
        <f>IF($A48="","",'03_年度学习计划'!$D48)</f>
        <v/>
      </c>
      <c r="C48" s="11" t="str">
        <f>IF($A48="","",'03_年度学习计划'!$F48)</f>
        <v/>
      </c>
      <c r="D48" s="11" t="str">
        <f>IF($A48="","",'03_年度学习计划'!$G48)</f>
        <v/>
      </c>
      <c r="E48" s="11" t="str">
        <f>IF($A48="","",'03_年度学习计划'!$E48)</f>
        <v/>
      </c>
      <c r="F48" s="11" t="str">
        <f>IF($A48="","",'03_年度学习计划'!$L48)</f>
        <v/>
      </c>
      <c r="G48" s="12" t="str">
        <f>IF($A48="","",'03_年度学习计划'!$N48)</f>
        <v/>
      </c>
      <c r="H48" s="12" t="str">
        <f>IF($A48="","",'03_年度学习计划'!$O48)</f>
        <v/>
      </c>
      <c r="I48" s="12" t="str">
        <f>IF($A48="","",'03_年度学习计划'!$P48)</f>
        <v/>
      </c>
      <c r="J48" s="11" t="str">
        <f>IF($A48="","",'03_年度学习计划'!$Q48)</f>
        <v/>
      </c>
      <c r="K48" s="11" t="str">
        <f>IF($A48="","",'03_年度学习计划'!$S48)</f>
        <v/>
      </c>
      <c r="L48" s="13" t="str">
        <f t="shared" si="1"/>
        <v/>
      </c>
      <c r="M48" s="13"/>
      <c r="N48" s="13"/>
      <c r="O48" s="13"/>
      <c r="P48" s="14"/>
      <c r="Q48" s="14"/>
      <c r="R48" s="14"/>
      <c r="S48" s="14"/>
      <c r="T48" s="14"/>
    </row>
    <row r="49" spans="1:20" ht="13.9">
      <c r="A49" s="11" t="str">
        <f>IF('03_年度学习计划'!$A49="","",'03_年度学习计划'!$A49)</f>
        <v/>
      </c>
      <c r="B49" s="11" t="str">
        <f>IF($A49="","",'03_年度学习计划'!$D49)</f>
        <v/>
      </c>
      <c r="C49" s="11" t="str">
        <f>IF($A49="","",'03_年度学习计划'!$F49)</f>
        <v/>
      </c>
      <c r="D49" s="11" t="str">
        <f>IF($A49="","",'03_年度学习计划'!$G49)</f>
        <v/>
      </c>
      <c r="E49" s="11" t="str">
        <f>IF($A49="","",'03_年度学习计划'!$E49)</f>
        <v/>
      </c>
      <c r="F49" s="11" t="str">
        <f>IF($A49="","",'03_年度学习计划'!$L49)</f>
        <v/>
      </c>
      <c r="G49" s="12" t="str">
        <f>IF($A49="","",'03_年度学习计划'!$N49)</f>
        <v/>
      </c>
      <c r="H49" s="12" t="str">
        <f>IF($A49="","",'03_年度学习计划'!$O49)</f>
        <v/>
      </c>
      <c r="I49" s="12" t="str">
        <f>IF($A49="","",'03_年度学习计划'!$P49)</f>
        <v/>
      </c>
      <c r="J49" s="11" t="str">
        <f>IF($A49="","",'03_年度学习计划'!$Q49)</f>
        <v/>
      </c>
      <c r="K49" s="11" t="str">
        <f>IF($A49="","",'03_年度学习计划'!$S49)</f>
        <v/>
      </c>
      <c r="L49" s="13" t="str">
        <f t="shared" si="1"/>
        <v/>
      </c>
      <c r="M49" s="13"/>
      <c r="N49" s="13"/>
      <c r="O49" s="13"/>
      <c r="P49" s="14"/>
      <c r="Q49" s="14"/>
      <c r="R49" s="14"/>
      <c r="S49" s="14"/>
      <c r="T49" s="14"/>
    </row>
    <row r="50" spans="1:20" ht="13.9">
      <c r="A50" s="11" t="str">
        <f>IF('03_年度学习计划'!$A50="","",'03_年度学习计划'!$A50)</f>
        <v/>
      </c>
      <c r="B50" s="11" t="str">
        <f>IF($A50="","",'03_年度学习计划'!$D50)</f>
        <v/>
      </c>
      <c r="C50" s="11" t="str">
        <f>IF($A50="","",'03_年度学习计划'!$F50)</f>
        <v/>
      </c>
      <c r="D50" s="11" t="str">
        <f>IF($A50="","",'03_年度学习计划'!$G50)</f>
        <v/>
      </c>
      <c r="E50" s="11" t="str">
        <f>IF($A50="","",'03_年度学习计划'!$E50)</f>
        <v/>
      </c>
      <c r="F50" s="11" t="str">
        <f>IF($A50="","",'03_年度学习计划'!$L50)</f>
        <v/>
      </c>
      <c r="G50" s="12" t="str">
        <f>IF($A50="","",'03_年度学习计划'!$N50)</f>
        <v/>
      </c>
      <c r="H50" s="12" t="str">
        <f>IF($A50="","",'03_年度学习计划'!$O50)</f>
        <v/>
      </c>
      <c r="I50" s="12" t="str">
        <f>IF($A50="","",'03_年度学习计划'!$P50)</f>
        <v/>
      </c>
      <c r="J50" s="11" t="str">
        <f>IF($A50="","",'03_年度学习计划'!$Q50)</f>
        <v/>
      </c>
      <c r="K50" s="11" t="str">
        <f>IF($A50="","",'03_年度学习计划'!$S50)</f>
        <v/>
      </c>
      <c r="L50" s="13" t="str">
        <f t="shared" si="1"/>
        <v/>
      </c>
      <c r="M50" s="13"/>
      <c r="N50" s="13"/>
      <c r="O50" s="13"/>
      <c r="P50" s="14"/>
      <c r="Q50" s="14"/>
      <c r="R50" s="14"/>
      <c r="S50" s="14"/>
      <c r="T50" s="14"/>
    </row>
    <row r="51" spans="1:20" ht="13.9">
      <c r="A51" s="11" t="str">
        <f>IF('03_年度学习计划'!$A51="","",'03_年度学习计划'!$A51)</f>
        <v/>
      </c>
      <c r="B51" s="11" t="str">
        <f>IF($A51="","",'03_年度学习计划'!$D51)</f>
        <v/>
      </c>
      <c r="C51" s="11" t="str">
        <f>IF($A51="","",'03_年度学习计划'!$F51)</f>
        <v/>
      </c>
      <c r="D51" s="11" t="str">
        <f>IF($A51="","",'03_年度学习计划'!$G51)</f>
        <v/>
      </c>
      <c r="E51" s="11" t="str">
        <f>IF($A51="","",'03_年度学习计划'!$E51)</f>
        <v/>
      </c>
      <c r="F51" s="11" t="str">
        <f>IF($A51="","",'03_年度学习计划'!$L51)</f>
        <v/>
      </c>
      <c r="G51" s="12" t="str">
        <f>IF($A51="","",'03_年度学习计划'!$N51)</f>
        <v/>
      </c>
      <c r="H51" s="12" t="str">
        <f>IF($A51="","",'03_年度学习计划'!$O51)</f>
        <v/>
      </c>
      <c r="I51" s="12" t="str">
        <f>IF($A51="","",'03_年度学习计划'!$P51)</f>
        <v/>
      </c>
      <c r="J51" s="11" t="str">
        <f>IF($A51="","",'03_年度学习计划'!$Q51)</f>
        <v/>
      </c>
      <c r="K51" s="11" t="str">
        <f>IF($A51="","",'03_年度学习计划'!$S51)</f>
        <v/>
      </c>
      <c r="L51" s="13" t="str">
        <f t="shared" si="1"/>
        <v/>
      </c>
      <c r="M51" s="13"/>
      <c r="N51" s="13"/>
      <c r="O51" s="13"/>
      <c r="P51" s="14"/>
      <c r="Q51" s="14"/>
      <c r="R51" s="14"/>
      <c r="S51" s="14"/>
      <c r="T51" s="14"/>
    </row>
    <row r="52" spans="1:20" ht="13.9">
      <c r="A52" s="11" t="str">
        <f>IF('03_年度学习计划'!$A52="","",'03_年度学习计划'!$A52)</f>
        <v/>
      </c>
      <c r="B52" s="11" t="str">
        <f>IF($A52="","",'03_年度学习计划'!$D52)</f>
        <v/>
      </c>
      <c r="C52" s="11" t="str">
        <f>IF($A52="","",'03_年度学习计划'!$F52)</f>
        <v/>
      </c>
      <c r="D52" s="11" t="str">
        <f>IF($A52="","",'03_年度学习计划'!$G52)</f>
        <v/>
      </c>
      <c r="E52" s="11" t="str">
        <f>IF($A52="","",'03_年度学习计划'!$E52)</f>
        <v/>
      </c>
      <c r="F52" s="11" t="str">
        <f>IF($A52="","",'03_年度学习计划'!$L52)</f>
        <v/>
      </c>
      <c r="G52" s="12" t="str">
        <f>IF($A52="","",'03_年度学习计划'!$N52)</f>
        <v/>
      </c>
      <c r="H52" s="12" t="str">
        <f>IF($A52="","",'03_年度学习计划'!$O52)</f>
        <v/>
      </c>
      <c r="I52" s="12" t="str">
        <f>IF($A52="","",'03_年度学习计划'!$P52)</f>
        <v/>
      </c>
      <c r="J52" s="11" t="str">
        <f>IF($A52="","",'03_年度学习计划'!$Q52)</f>
        <v/>
      </c>
      <c r="K52" s="11" t="str">
        <f>IF($A52="","",'03_年度学习计划'!$S52)</f>
        <v/>
      </c>
      <c r="L52" s="13" t="str">
        <f t="shared" si="1"/>
        <v/>
      </c>
      <c r="M52" s="13"/>
      <c r="N52" s="13"/>
      <c r="O52" s="13"/>
      <c r="P52" s="14"/>
      <c r="Q52" s="14"/>
      <c r="R52" s="14"/>
      <c r="S52" s="14"/>
      <c r="T52" s="14"/>
    </row>
    <row r="53" spans="1:20" ht="13.9">
      <c r="A53" s="11" t="str">
        <f>IF('03_年度学习计划'!$A53="","",'03_年度学习计划'!$A53)</f>
        <v/>
      </c>
      <c r="B53" s="11" t="str">
        <f>IF($A53="","",'03_年度学习计划'!$D53)</f>
        <v/>
      </c>
      <c r="C53" s="11" t="str">
        <f>IF($A53="","",'03_年度学习计划'!$F53)</f>
        <v/>
      </c>
      <c r="D53" s="11" t="str">
        <f>IF($A53="","",'03_年度学习计划'!$G53)</f>
        <v/>
      </c>
      <c r="E53" s="11" t="str">
        <f>IF($A53="","",'03_年度学习计划'!$E53)</f>
        <v/>
      </c>
      <c r="F53" s="11" t="str">
        <f>IF($A53="","",'03_年度学习计划'!$L53)</f>
        <v/>
      </c>
      <c r="G53" s="12" t="str">
        <f>IF($A53="","",'03_年度学习计划'!$N53)</f>
        <v/>
      </c>
      <c r="H53" s="12" t="str">
        <f>IF($A53="","",'03_年度学习计划'!$O53)</f>
        <v/>
      </c>
      <c r="I53" s="12" t="str">
        <f>IF($A53="","",'03_年度学习计划'!$P53)</f>
        <v/>
      </c>
      <c r="J53" s="11" t="str">
        <f>IF($A53="","",'03_年度学习计划'!$Q53)</f>
        <v/>
      </c>
      <c r="K53" s="11" t="str">
        <f>IF($A53="","",'03_年度学习计划'!$S53)</f>
        <v/>
      </c>
      <c r="L53" s="13" t="str">
        <f t="shared" si="1"/>
        <v/>
      </c>
      <c r="M53" s="13"/>
      <c r="N53" s="13"/>
      <c r="O53" s="13"/>
      <c r="P53" s="14"/>
      <c r="Q53" s="14"/>
      <c r="R53" s="14"/>
      <c r="S53" s="14"/>
      <c r="T53" s="14"/>
    </row>
    <row r="54" spans="1:20" ht="13.9">
      <c r="A54" s="11" t="str">
        <f>IF('03_年度学习计划'!$A54="","",'03_年度学习计划'!$A54)</f>
        <v/>
      </c>
      <c r="B54" s="11" t="str">
        <f>IF($A54="","",'03_年度学习计划'!$D54)</f>
        <v/>
      </c>
      <c r="C54" s="11" t="str">
        <f>IF($A54="","",'03_年度学习计划'!$F54)</f>
        <v/>
      </c>
      <c r="D54" s="11" t="str">
        <f>IF($A54="","",'03_年度学习计划'!$G54)</f>
        <v/>
      </c>
      <c r="E54" s="11" t="str">
        <f>IF($A54="","",'03_年度学习计划'!$E54)</f>
        <v/>
      </c>
      <c r="F54" s="11" t="str">
        <f>IF($A54="","",'03_年度学习计划'!$L54)</f>
        <v/>
      </c>
      <c r="G54" s="12" t="str">
        <f>IF($A54="","",'03_年度学习计划'!$N54)</f>
        <v/>
      </c>
      <c r="H54" s="12" t="str">
        <f>IF($A54="","",'03_年度学习计划'!$O54)</f>
        <v/>
      </c>
      <c r="I54" s="12" t="str">
        <f>IF($A54="","",'03_年度学习计划'!$P54)</f>
        <v/>
      </c>
      <c r="J54" s="11" t="str">
        <f>IF($A54="","",'03_年度学习计划'!$Q54)</f>
        <v/>
      </c>
      <c r="K54" s="11" t="str">
        <f>IF($A54="","",'03_年度学习计划'!$S54)</f>
        <v/>
      </c>
      <c r="L54" s="13" t="str">
        <f t="shared" si="1"/>
        <v/>
      </c>
      <c r="M54" s="13"/>
      <c r="N54" s="13"/>
      <c r="O54" s="13"/>
      <c r="P54" s="14"/>
      <c r="Q54" s="14"/>
      <c r="R54" s="14"/>
      <c r="S54" s="14"/>
      <c r="T54" s="14"/>
    </row>
    <row r="55" spans="1:20" ht="13.9">
      <c r="A55" s="11" t="str">
        <f>IF('03_年度学习计划'!$A55="","",'03_年度学习计划'!$A55)</f>
        <v/>
      </c>
      <c r="B55" s="11" t="str">
        <f>IF($A55="","",'03_年度学习计划'!$D55)</f>
        <v/>
      </c>
      <c r="C55" s="11" t="str">
        <f>IF($A55="","",'03_年度学习计划'!$F55)</f>
        <v/>
      </c>
      <c r="D55" s="11" t="str">
        <f>IF($A55="","",'03_年度学习计划'!$G55)</f>
        <v/>
      </c>
      <c r="E55" s="11" t="str">
        <f>IF($A55="","",'03_年度学习计划'!$E55)</f>
        <v/>
      </c>
      <c r="F55" s="11" t="str">
        <f>IF($A55="","",'03_年度学习计划'!$L55)</f>
        <v/>
      </c>
      <c r="G55" s="12" t="str">
        <f>IF($A55="","",'03_年度学习计划'!$N55)</f>
        <v/>
      </c>
      <c r="H55" s="12" t="str">
        <f>IF($A55="","",'03_年度学习计划'!$O55)</f>
        <v/>
      </c>
      <c r="I55" s="12" t="str">
        <f>IF($A55="","",'03_年度学习计划'!$P55)</f>
        <v/>
      </c>
      <c r="J55" s="11" t="str">
        <f>IF($A55="","",'03_年度学习计划'!$Q55)</f>
        <v/>
      </c>
      <c r="K55" s="11" t="str">
        <f>IF($A55="","",'03_年度学习计划'!$S55)</f>
        <v/>
      </c>
      <c r="L55" s="13" t="str">
        <f t="shared" si="1"/>
        <v/>
      </c>
      <c r="M55" s="13"/>
      <c r="N55" s="13"/>
      <c r="O55" s="13"/>
      <c r="P55" s="14"/>
      <c r="Q55" s="14"/>
      <c r="R55" s="14"/>
      <c r="S55" s="14"/>
      <c r="T55" s="14"/>
    </row>
    <row r="56" spans="1:20" ht="13.9">
      <c r="A56" s="11" t="str">
        <f>IF('03_年度学习计划'!$A56="","",'03_年度学习计划'!$A56)</f>
        <v/>
      </c>
      <c r="B56" s="11" t="str">
        <f>IF($A56="","",'03_年度学习计划'!$D56)</f>
        <v/>
      </c>
      <c r="C56" s="11" t="str">
        <f>IF($A56="","",'03_年度学习计划'!$F56)</f>
        <v/>
      </c>
      <c r="D56" s="11" t="str">
        <f>IF($A56="","",'03_年度学习计划'!$G56)</f>
        <v/>
      </c>
      <c r="E56" s="11" t="str">
        <f>IF($A56="","",'03_年度学习计划'!$E56)</f>
        <v/>
      </c>
      <c r="F56" s="11" t="str">
        <f>IF($A56="","",'03_年度学习计划'!$L56)</f>
        <v/>
      </c>
      <c r="G56" s="12" t="str">
        <f>IF($A56="","",'03_年度学习计划'!$N56)</f>
        <v/>
      </c>
      <c r="H56" s="12" t="str">
        <f>IF($A56="","",'03_年度学习计划'!$O56)</f>
        <v/>
      </c>
      <c r="I56" s="12" t="str">
        <f>IF($A56="","",'03_年度学习计划'!$P56)</f>
        <v/>
      </c>
      <c r="J56" s="11" t="str">
        <f>IF($A56="","",'03_年度学习计划'!$Q56)</f>
        <v/>
      </c>
      <c r="K56" s="11" t="str">
        <f>IF($A56="","",'03_年度学习计划'!$S56)</f>
        <v/>
      </c>
      <c r="L56" s="13" t="str">
        <f t="shared" si="1"/>
        <v/>
      </c>
      <c r="M56" s="13"/>
      <c r="N56" s="13"/>
      <c r="O56" s="13"/>
      <c r="P56" s="14"/>
      <c r="Q56" s="14"/>
      <c r="R56" s="14"/>
      <c r="S56" s="14"/>
      <c r="T56" s="14"/>
    </row>
    <row r="57" spans="1:20" ht="13.9">
      <c r="A57" s="11" t="str">
        <f>IF('03_年度学习计划'!$A57="","",'03_年度学习计划'!$A57)</f>
        <v/>
      </c>
      <c r="B57" s="11" t="str">
        <f>IF($A57="","",'03_年度学习计划'!$D57)</f>
        <v/>
      </c>
      <c r="C57" s="11" t="str">
        <f>IF($A57="","",'03_年度学习计划'!$F57)</f>
        <v/>
      </c>
      <c r="D57" s="11" t="str">
        <f>IF($A57="","",'03_年度学习计划'!$G57)</f>
        <v/>
      </c>
      <c r="E57" s="11" t="str">
        <f>IF($A57="","",'03_年度学习计划'!$E57)</f>
        <v/>
      </c>
      <c r="F57" s="11" t="str">
        <f>IF($A57="","",'03_年度学习计划'!$L57)</f>
        <v/>
      </c>
      <c r="G57" s="12" t="str">
        <f>IF($A57="","",'03_年度学习计划'!$N57)</f>
        <v/>
      </c>
      <c r="H57" s="12" t="str">
        <f>IF($A57="","",'03_年度学习计划'!$O57)</f>
        <v/>
      </c>
      <c r="I57" s="12" t="str">
        <f>IF($A57="","",'03_年度学习计划'!$P57)</f>
        <v/>
      </c>
      <c r="J57" s="11" t="str">
        <f>IF($A57="","",'03_年度学习计划'!$Q57)</f>
        <v/>
      </c>
      <c r="K57" s="11" t="str">
        <f>IF($A57="","",'03_年度学习计划'!$S57)</f>
        <v/>
      </c>
      <c r="L57" s="13" t="str">
        <f t="shared" si="1"/>
        <v/>
      </c>
      <c r="M57" s="13"/>
      <c r="N57" s="13"/>
      <c r="O57" s="13"/>
      <c r="P57" s="14"/>
      <c r="Q57" s="14"/>
      <c r="R57" s="14"/>
      <c r="S57" s="14"/>
      <c r="T57" s="14"/>
    </row>
    <row r="58" spans="1:20" ht="13.9">
      <c r="A58" s="11" t="str">
        <f>IF('03_年度学习计划'!$A58="","",'03_年度学习计划'!$A58)</f>
        <v/>
      </c>
      <c r="B58" s="11" t="str">
        <f>IF($A58="","",'03_年度学习计划'!$D58)</f>
        <v/>
      </c>
      <c r="C58" s="11" t="str">
        <f>IF($A58="","",'03_年度学习计划'!$F58)</f>
        <v/>
      </c>
      <c r="D58" s="11" t="str">
        <f>IF($A58="","",'03_年度学习计划'!$G58)</f>
        <v/>
      </c>
      <c r="E58" s="11" t="str">
        <f>IF($A58="","",'03_年度学习计划'!$E58)</f>
        <v/>
      </c>
      <c r="F58" s="11" t="str">
        <f>IF($A58="","",'03_年度学习计划'!$L58)</f>
        <v/>
      </c>
      <c r="G58" s="12" t="str">
        <f>IF($A58="","",'03_年度学习计划'!$N58)</f>
        <v/>
      </c>
      <c r="H58" s="12" t="str">
        <f>IF($A58="","",'03_年度学习计划'!$O58)</f>
        <v/>
      </c>
      <c r="I58" s="12" t="str">
        <f>IF($A58="","",'03_年度学习计划'!$P58)</f>
        <v/>
      </c>
      <c r="J58" s="11" t="str">
        <f>IF($A58="","",'03_年度学习计划'!$Q58)</f>
        <v/>
      </c>
      <c r="K58" s="11" t="str">
        <f>IF($A58="","",'03_年度学习计划'!$S58)</f>
        <v/>
      </c>
      <c r="L58" s="13" t="str">
        <f t="shared" si="1"/>
        <v/>
      </c>
      <c r="M58" s="13"/>
      <c r="N58" s="13"/>
      <c r="O58" s="13"/>
      <c r="P58" s="14"/>
      <c r="Q58" s="14"/>
      <c r="R58" s="14"/>
      <c r="S58" s="14"/>
      <c r="T58" s="14"/>
    </row>
    <row r="59" spans="1:20" ht="13.9">
      <c r="A59" s="11" t="str">
        <f>IF('03_年度学习计划'!$A59="","",'03_年度学习计划'!$A59)</f>
        <v/>
      </c>
      <c r="B59" s="11" t="str">
        <f>IF($A59="","",'03_年度学习计划'!$D59)</f>
        <v/>
      </c>
      <c r="C59" s="11" t="str">
        <f>IF($A59="","",'03_年度学习计划'!$F59)</f>
        <v/>
      </c>
      <c r="D59" s="11" t="str">
        <f>IF($A59="","",'03_年度学习计划'!$G59)</f>
        <v/>
      </c>
      <c r="E59" s="11" t="str">
        <f>IF($A59="","",'03_年度学习计划'!$E59)</f>
        <v/>
      </c>
      <c r="F59" s="11" t="str">
        <f>IF($A59="","",'03_年度学习计划'!$L59)</f>
        <v/>
      </c>
      <c r="G59" s="12" t="str">
        <f>IF($A59="","",'03_年度学习计划'!$N59)</f>
        <v/>
      </c>
      <c r="H59" s="12" t="str">
        <f>IF($A59="","",'03_年度学习计划'!$O59)</f>
        <v/>
      </c>
      <c r="I59" s="12" t="str">
        <f>IF($A59="","",'03_年度学习计划'!$P59)</f>
        <v/>
      </c>
      <c r="J59" s="11" t="str">
        <f>IF($A59="","",'03_年度学习计划'!$Q59)</f>
        <v/>
      </c>
      <c r="K59" s="11" t="str">
        <f>IF($A59="","",'03_年度学习计划'!$S59)</f>
        <v/>
      </c>
      <c r="L59" s="13" t="str">
        <f t="shared" si="1"/>
        <v/>
      </c>
      <c r="M59" s="13"/>
      <c r="N59" s="13"/>
      <c r="O59" s="13"/>
      <c r="P59" s="14"/>
      <c r="Q59" s="14"/>
      <c r="R59" s="14"/>
      <c r="S59" s="14"/>
      <c r="T59" s="14"/>
    </row>
    <row r="60" spans="1:20" ht="13.9">
      <c r="A60" s="11" t="str">
        <f>IF('03_年度学习计划'!$A60="","",'03_年度学习计划'!$A60)</f>
        <v/>
      </c>
      <c r="B60" s="11" t="str">
        <f>IF($A60="","",'03_年度学习计划'!$D60)</f>
        <v/>
      </c>
      <c r="C60" s="11" t="str">
        <f>IF($A60="","",'03_年度学习计划'!$F60)</f>
        <v/>
      </c>
      <c r="D60" s="11" t="str">
        <f>IF($A60="","",'03_年度学习计划'!$G60)</f>
        <v/>
      </c>
      <c r="E60" s="11" t="str">
        <f>IF($A60="","",'03_年度学习计划'!$E60)</f>
        <v/>
      </c>
      <c r="F60" s="11" t="str">
        <f>IF($A60="","",'03_年度学习计划'!$L60)</f>
        <v/>
      </c>
      <c r="G60" s="12" t="str">
        <f>IF($A60="","",'03_年度学习计划'!$N60)</f>
        <v/>
      </c>
      <c r="H60" s="12" t="str">
        <f>IF($A60="","",'03_年度学习计划'!$O60)</f>
        <v/>
      </c>
      <c r="I60" s="12" t="str">
        <f>IF($A60="","",'03_年度学习计划'!$P60)</f>
        <v/>
      </c>
      <c r="J60" s="11" t="str">
        <f>IF($A60="","",'03_年度学习计划'!$Q60)</f>
        <v/>
      </c>
      <c r="K60" s="11" t="str">
        <f>IF($A60="","",'03_年度学习计划'!$S60)</f>
        <v/>
      </c>
      <c r="L60" s="13" t="str">
        <f t="shared" si="1"/>
        <v/>
      </c>
      <c r="M60" s="13"/>
      <c r="N60" s="13"/>
      <c r="O60" s="13"/>
      <c r="P60" s="14"/>
      <c r="Q60" s="14"/>
      <c r="R60" s="14"/>
      <c r="S60" s="14"/>
      <c r="T60" s="14"/>
    </row>
    <row r="61" spans="1:20" ht="13.9">
      <c r="A61" s="11" t="str">
        <f>IF('03_年度学习计划'!$A61="","",'03_年度学习计划'!$A61)</f>
        <v/>
      </c>
      <c r="B61" s="11" t="str">
        <f>IF($A61="","",'03_年度学习计划'!$D61)</f>
        <v/>
      </c>
      <c r="C61" s="11" t="str">
        <f>IF($A61="","",'03_年度学习计划'!$F61)</f>
        <v/>
      </c>
      <c r="D61" s="11" t="str">
        <f>IF($A61="","",'03_年度学习计划'!$G61)</f>
        <v/>
      </c>
      <c r="E61" s="11" t="str">
        <f>IF($A61="","",'03_年度学习计划'!$E61)</f>
        <v/>
      </c>
      <c r="F61" s="11" t="str">
        <f>IF($A61="","",'03_年度学习计划'!$L61)</f>
        <v/>
      </c>
      <c r="G61" s="12" t="str">
        <f>IF($A61="","",'03_年度学习计划'!$N61)</f>
        <v/>
      </c>
      <c r="H61" s="12" t="str">
        <f>IF($A61="","",'03_年度学习计划'!$O61)</f>
        <v/>
      </c>
      <c r="I61" s="12" t="str">
        <f>IF($A61="","",'03_年度学习计划'!$P61)</f>
        <v/>
      </c>
      <c r="J61" s="11" t="str">
        <f>IF($A61="","",'03_年度学习计划'!$Q61)</f>
        <v/>
      </c>
      <c r="K61" s="11" t="str">
        <f>IF($A61="","",'03_年度学习计划'!$S61)</f>
        <v/>
      </c>
      <c r="L61" s="13" t="str">
        <f t="shared" si="1"/>
        <v/>
      </c>
      <c r="M61" s="13"/>
      <c r="N61" s="13"/>
      <c r="O61" s="13"/>
      <c r="P61" s="14"/>
      <c r="Q61" s="14"/>
      <c r="R61" s="14"/>
      <c r="S61" s="14"/>
      <c r="T61" s="14"/>
    </row>
    <row r="62" spans="1:20" ht="13.9">
      <c r="A62" s="11" t="str">
        <f>IF('03_年度学习计划'!$A62="","",'03_年度学习计划'!$A62)</f>
        <v/>
      </c>
      <c r="B62" s="11" t="str">
        <f>IF($A62="","",'03_年度学习计划'!$D62)</f>
        <v/>
      </c>
      <c r="C62" s="11" t="str">
        <f>IF($A62="","",'03_年度学习计划'!$F62)</f>
        <v/>
      </c>
      <c r="D62" s="11" t="str">
        <f>IF($A62="","",'03_年度学习计划'!$G62)</f>
        <v/>
      </c>
      <c r="E62" s="11" t="str">
        <f>IF($A62="","",'03_年度学习计划'!$E62)</f>
        <v/>
      </c>
      <c r="F62" s="11" t="str">
        <f>IF($A62="","",'03_年度学习计划'!$L62)</f>
        <v/>
      </c>
      <c r="G62" s="12" t="str">
        <f>IF($A62="","",'03_年度学习计划'!$N62)</f>
        <v/>
      </c>
      <c r="H62" s="12" t="str">
        <f>IF($A62="","",'03_年度学习计划'!$O62)</f>
        <v/>
      </c>
      <c r="I62" s="12" t="str">
        <f>IF($A62="","",'03_年度学习计划'!$P62)</f>
        <v/>
      </c>
      <c r="J62" s="11" t="str">
        <f>IF($A62="","",'03_年度学习计划'!$Q62)</f>
        <v/>
      </c>
      <c r="K62" s="11" t="str">
        <f>IF($A62="","",'03_年度学习计划'!$S62)</f>
        <v/>
      </c>
      <c r="L62" s="13" t="str">
        <f t="shared" si="1"/>
        <v/>
      </c>
      <c r="M62" s="13"/>
      <c r="N62" s="13"/>
      <c r="O62" s="13"/>
      <c r="P62" s="14"/>
      <c r="Q62" s="14"/>
      <c r="R62" s="14"/>
      <c r="S62" s="14"/>
      <c r="T62" s="14"/>
    </row>
    <row r="63" spans="1:20" ht="13.9">
      <c r="A63" s="11" t="str">
        <f>IF('03_年度学习计划'!$A63="","",'03_年度学习计划'!$A63)</f>
        <v/>
      </c>
      <c r="B63" s="11" t="str">
        <f>IF($A63="","",'03_年度学习计划'!$D63)</f>
        <v/>
      </c>
      <c r="C63" s="11" t="str">
        <f>IF($A63="","",'03_年度学习计划'!$F63)</f>
        <v/>
      </c>
      <c r="D63" s="11" t="str">
        <f>IF($A63="","",'03_年度学习计划'!$G63)</f>
        <v/>
      </c>
      <c r="E63" s="11" t="str">
        <f>IF($A63="","",'03_年度学习计划'!$E63)</f>
        <v/>
      </c>
      <c r="F63" s="11" t="str">
        <f>IF($A63="","",'03_年度学习计划'!$L63)</f>
        <v/>
      </c>
      <c r="G63" s="12" t="str">
        <f>IF($A63="","",'03_年度学习计划'!$N63)</f>
        <v/>
      </c>
      <c r="H63" s="12" t="str">
        <f>IF($A63="","",'03_年度学习计划'!$O63)</f>
        <v/>
      </c>
      <c r="I63" s="12" t="str">
        <f>IF($A63="","",'03_年度学习计划'!$P63)</f>
        <v/>
      </c>
      <c r="J63" s="11" t="str">
        <f>IF($A63="","",'03_年度学习计划'!$Q63)</f>
        <v/>
      </c>
      <c r="K63" s="11" t="str">
        <f>IF($A63="","",'03_年度学习计划'!$S63)</f>
        <v/>
      </c>
      <c r="L63" s="13" t="str">
        <f t="shared" si="1"/>
        <v/>
      </c>
      <c r="M63" s="13"/>
      <c r="N63" s="13"/>
      <c r="O63" s="13"/>
      <c r="P63" s="14"/>
      <c r="Q63" s="14"/>
      <c r="R63" s="14"/>
      <c r="S63" s="14"/>
      <c r="T63" s="14"/>
    </row>
    <row r="64" spans="1:20" ht="13.9">
      <c r="A64" s="11" t="str">
        <f>IF('03_年度学习计划'!$A64="","",'03_年度学习计划'!$A64)</f>
        <v/>
      </c>
      <c r="B64" s="11" t="str">
        <f>IF($A64="","",'03_年度学习计划'!$D64)</f>
        <v/>
      </c>
      <c r="C64" s="11" t="str">
        <f>IF($A64="","",'03_年度学习计划'!$F64)</f>
        <v/>
      </c>
      <c r="D64" s="11" t="str">
        <f>IF($A64="","",'03_年度学习计划'!$G64)</f>
        <v/>
      </c>
      <c r="E64" s="11" t="str">
        <f>IF($A64="","",'03_年度学习计划'!$E64)</f>
        <v/>
      </c>
      <c r="F64" s="11" t="str">
        <f>IF($A64="","",'03_年度学习计划'!$L64)</f>
        <v/>
      </c>
      <c r="G64" s="12" t="str">
        <f>IF($A64="","",'03_年度学习计划'!$N64)</f>
        <v/>
      </c>
      <c r="H64" s="12" t="str">
        <f>IF($A64="","",'03_年度学习计划'!$O64)</f>
        <v/>
      </c>
      <c r="I64" s="12" t="str">
        <f>IF($A64="","",'03_年度学习计划'!$P64)</f>
        <v/>
      </c>
      <c r="J64" s="11" t="str">
        <f>IF($A64="","",'03_年度学习计划'!$Q64)</f>
        <v/>
      </c>
      <c r="K64" s="11" t="str">
        <f>IF($A64="","",'03_年度学习计划'!$S64)</f>
        <v/>
      </c>
      <c r="L64" s="13" t="str">
        <f t="shared" si="1"/>
        <v/>
      </c>
      <c r="M64" s="13"/>
      <c r="N64" s="13"/>
      <c r="O64" s="13"/>
      <c r="P64" s="14"/>
      <c r="Q64" s="14"/>
      <c r="R64" s="14"/>
      <c r="S64" s="14"/>
      <c r="T64" s="14"/>
    </row>
    <row r="65" spans="1:20" ht="13.9">
      <c r="A65" s="11" t="str">
        <f>IF('03_年度学习计划'!$A65="","",'03_年度学习计划'!$A65)</f>
        <v/>
      </c>
      <c r="B65" s="11" t="str">
        <f>IF($A65="","",'03_年度学习计划'!$D65)</f>
        <v/>
      </c>
      <c r="C65" s="11" t="str">
        <f>IF($A65="","",'03_年度学习计划'!$F65)</f>
        <v/>
      </c>
      <c r="D65" s="11" t="str">
        <f>IF($A65="","",'03_年度学习计划'!$G65)</f>
        <v/>
      </c>
      <c r="E65" s="11" t="str">
        <f>IF($A65="","",'03_年度学习计划'!$E65)</f>
        <v/>
      </c>
      <c r="F65" s="11" t="str">
        <f>IF($A65="","",'03_年度学习计划'!$L65)</f>
        <v/>
      </c>
      <c r="G65" s="12" t="str">
        <f>IF($A65="","",'03_年度学习计划'!$N65)</f>
        <v/>
      </c>
      <c r="H65" s="12" t="str">
        <f>IF($A65="","",'03_年度学习计划'!$O65)</f>
        <v/>
      </c>
      <c r="I65" s="12" t="str">
        <f>IF($A65="","",'03_年度学习计划'!$P65)</f>
        <v/>
      </c>
      <c r="J65" s="11" t="str">
        <f>IF($A65="","",'03_年度学习计划'!$Q65)</f>
        <v/>
      </c>
      <c r="K65" s="11" t="str">
        <f>IF($A65="","",'03_年度学习计划'!$S65)</f>
        <v/>
      </c>
      <c r="L65" s="13" t="str">
        <f t="shared" si="1"/>
        <v/>
      </c>
      <c r="M65" s="13"/>
      <c r="N65" s="13"/>
      <c r="O65" s="13"/>
      <c r="P65" s="14"/>
      <c r="Q65" s="14"/>
      <c r="R65" s="14"/>
      <c r="S65" s="14"/>
      <c r="T65" s="14"/>
    </row>
    <row r="66" spans="1:20" ht="13.9">
      <c r="A66" s="11" t="str">
        <f>IF('03_年度学习计划'!$A66="","",'03_年度学习计划'!$A66)</f>
        <v/>
      </c>
      <c r="B66" s="11" t="str">
        <f>IF($A66="","",'03_年度学习计划'!$D66)</f>
        <v/>
      </c>
      <c r="C66" s="11" t="str">
        <f>IF($A66="","",'03_年度学习计划'!$F66)</f>
        <v/>
      </c>
      <c r="D66" s="11" t="str">
        <f>IF($A66="","",'03_年度学习计划'!$G66)</f>
        <v/>
      </c>
      <c r="E66" s="11" t="str">
        <f>IF($A66="","",'03_年度学习计划'!$E66)</f>
        <v/>
      </c>
      <c r="F66" s="11" t="str">
        <f>IF($A66="","",'03_年度学习计划'!$L66)</f>
        <v/>
      </c>
      <c r="G66" s="12" t="str">
        <f>IF($A66="","",'03_年度学习计划'!$N66)</f>
        <v/>
      </c>
      <c r="H66" s="12" t="str">
        <f>IF($A66="","",'03_年度学习计划'!$O66)</f>
        <v/>
      </c>
      <c r="I66" s="12" t="str">
        <f>IF($A66="","",'03_年度学习计划'!$P66)</f>
        <v/>
      </c>
      <c r="J66" s="11" t="str">
        <f>IF($A66="","",'03_年度学习计划'!$Q66)</f>
        <v/>
      </c>
      <c r="K66" s="11" t="str">
        <f>IF($A66="","",'03_年度学习计划'!$S66)</f>
        <v/>
      </c>
      <c r="L66" s="13" t="str">
        <f t="shared" ref="L66:L97" si="2">IF($A66="","","未开始")</f>
        <v/>
      </c>
      <c r="M66" s="13"/>
      <c r="N66" s="13"/>
      <c r="O66" s="13"/>
      <c r="P66" s="14"/>
      <c r="Q66" s="14"/>
      <c r="R66" s="14"/>
      <c r="S66" s="14"/>
      <c r="T66" s="14"/>
    </row>
    <row r="67" spans="1:20" ht="13.9">
      <c r="A67" s="11" t="str">
        <f>IF('03_年度学习计划'!$A67="","",'03_年度学习计划'!$A67)</f>
        <v/>
      </c>
      <c r="B67" s="11" t="str">
        <f>IF($A67="","",'03_年度学习计划'!$D67)</f>
        <v/>
      </c>
      <c r="C67" s="11" t="str">
        <f>IF($A67="","",'03_年度学习计划'!$F67)</f>
        <v/>
      </c>
      <c r="D67" s="11" t="str">
        <f>IF($A67="","",'03_年度学习计划'!$G67)</f>
        <v/>
      </c>
      <c r="E67" s="11" t="str">
        <f>IF($A67="","",'03_年度学习计划'!$E67)</f>
        <v/>
      </c>
      <c r="F67" s="11" t="str">
        <f>IF($A67="","",'03_年度学习计划'!$L67)</f>
        <v/>
      </c>
      <c r="G67" s="12" t="str">
        <f>IF($A67="","",'03_年度学习计划'!$N67)</f>
        <v/>
      </c>
      <c r="H67" s="12" t="str">
        <f>IF($A67="","",'03_年度学习计划'!$O67)</f>
        <v/>
      </c>
      <c r="I67" s="12" t="str">
        <f>IF($A67="","",'03_年度学习计划'!$P67)</f>
        <v/>
      </c>
      <c r="J67" s="11" t="str">
        <f>IF($A67="","",'03_年度学习计划'!$Q67)</f>
        <v/>
      </c>
      <c r="K67" s="11" t="str">
        <f>IF($A67="","",'03_年度学习计划'!$S67)</f>
        <v/>
      </c>
      <c r="L67" s="13" t="str">
        <f t="shared" si="2"/>
        <v/>
      </c>
      <c r="M67" s="13"/>
      <c r="N67" s="13"/>
      <c r="O67" s="13"/>
      <c r="P67" s="14"/>
      <c r="Q67" s="14"/>
      <c r="R67" s="14"/>
      <c r="S67" s="14"/>
      <c r="T67" s="14"/>
    </row>
    <row r="68" spans="1:20" ht="13.9">
      <c r="A68" s="11" t="str">
        <f>IF('03_年度学习计划'!$A68="","",'03_年度学习计划'!$A68)</f>
        <v/>
      </c>
      <c r="B68" s="11" t="str">
        <f>IF($A68="","",'03_年度学习计划'!$D68)</f>
        <v/>
      </c>
      <c r="C68" s="11" t="str">
        <f>IF($A68="","",'03_年度学习计划'!$F68)</f>
        <v/>
      </c>
      <c r="D68" s="11" t="str">
        <f>IF($A68="","",'03_年度学习计划'!$G68)</f>
        <v/>
      </c>
      <c r="E68" s="11" t="str">
        <f>IF($A68="","",'03_年度学习计划'!$E68)</f>
        <v/>
      </c>
      <c r="F68" s="11" t="str">
        <f>IF($A68="","",'03_年度学习计划'!$L68)</f>
        <v/>
      </c>
      <c r="G68" s="12" t="str">
        <f>IF($A68="","",'03_年度学习计划'!$N68)</f>
        <v/>
      </c>
      <c r="H68" s="12" t="str">
        <f>IF($A68="","",'03_年度学习计划'!$O68)</f>
        <v/>
      </c>
      <c r="I68" s="12" t="str">
        <f>IF($A68="","",'03_年度学习计划'!$P68)</f>
        <v/>
      </c>
      <c r="J68" s="11" t="str">
        <f>IF($A68="","",'03_年度学习计划'!$Q68)</f>
        <v/>
      </c>
      <c r="K68" s="11" t="str">
        <f>IF($A68="","",'03_年度学习计划'!$S68)</f>
        <v/>
      </c>
      <c r="L68" s="13" t="str">
        <f t="shared" si="2"/>
        <v/>
      </c>
      <c r="M68" s="13"/>
      <c r="N68" s="13"/>
      <c r="O68" s="13"/>
      <c r="P68" s="14"/>
      <c r="Q68" s="14"/>
      <c r="R68" s="14"/>
      <c r="S68" s="14"/>
      <c r="T68" s="14"/>
    </row>
    <row r="69" spans="1:20" ht="13.9">
      <c r="A69" s="11" t="str">
        <f>IF('03_年度学习计划'!$A69="","",'03_年度学习计划'!$A69)</f>
        <v/>
      </c>
      <c r="B69" s="11" t="str">
        <f>IF($A69="","",'03_年度学习计划'!$D69)</f>
        <v/>
      </c>
      <c r="C69" s="11" t="str">
        <f>IF($A69="","",'03_年度学习计划'!$F69)</f>
        <v/>
      </c>
      <c r="D69" s="11" t="str">
        <f>IF($A69="","",'03_年度学习计划'!$G69)</f>
        <v/>
      </c>
      <c r="E69" s="11" t="str">
        <f>IF($A69="","",'03_年度学习计划'!$E69)</f>
        <v/>
      </c>
      <c r="F69" s="11" t="str">
        <f>IF($A69="","",'03_年度学习计划'!$L69)</f>
        <v/>
      </c>
      <c r="G69" s="12" t="str">
        <f>IF($A69="","",'03_年度学习计划'!$N69)</f>
        <v/>
      </c>
      <c r="H69" s="12" t="str">
        <f>IF($A69="","",'03_年度学习计划'!$O69)</f>
        <v/>
      </c>
      <c r="I69" s="12" t="str">
        <f>IF($A69="","",'03_年度学习计划'!$P69)</f>
        <v/>
      </c>
      <c r="J69" s="11" t="str">
        <f>IF($A69="","",'03_年度学习计划'!$Q69)</f>
        <v/>
      </c>
      <c r="K69" s="11" t="str">
        <f>IF($A69="","",'03_年度学习计划'!$S69)</f>
        <v/>
      </c>
      <c r="L69" s="13" t="str">
        <f t="shared" si="2"/>
        <v/>
      </c>
      <c r="M69" s="13"/>
      <c r="N69" s="13"/>
      <c r="O69" s="13"/>
      <c r="P69" s="14"/>
      <c r="Q69" s="14"/>
      <c r="R69" s="14"/>
      <c r="S69" s="14"/>
      <c r="T69" s="14"/>
    </row>
    <row r="70" spans="1:20" ht="13.9">
      <c r="A70" s="11" t="str">
        <f>IF('03_年度学习计划'!$A70="","",'03_年度学习计划'!$A70)</f>
        <v/>
      </c>
      <c r="B70" s="11" t="str">
        <f>IF($A70="","",'03_年度学习计划'!$D70)</f>
        <v/>
      </c>
      <c r="C70" s="11" t="str">
        <f>IF($A70="","",'03_年度学习计划'!$F70)</f>
        <v/>
      </c>
      <c r="D70" s="11" t="str">
        <f>IF($A70="","",'03_年度学习计划'!$G70)</f>
        <v/>
      </c>
      <c r="E70" s="11" t="str">
        <f>IF($A70="","",'03_年度学习计划'!$E70)</f>
        <v/>
      </c>
      <c r="F70" s="11" t="str">
        <f>IF($A70="","",'03_年度学习计划'!$L70)</f>
        <v/>
      </c>
      <c r="G70" s="12" t="str">
        <f>IF($A70="","",'03_年度学习计划'!$N70)</f>
        <v/>
      </c>
      <c r="H70" s="12" t="str">
        <f>IF($A70="","",'03_年度学习计划'!$O70)</f>
        <v/>
      </c>
      <c r="I70" s="12" t="str">
        <f>IF($A70="","",'03_年度学习计划'!$P70)</f>
        <v/>
      </c>
      <c r="J70" s="11" t="str">
        <f>IF($A70="","",'03_年度学习计划'!$Q70)</f>
        <v/>
      </c>
      <c r="K70" s="11" t="str">
        <f>IF($A70="","",'03_年度学习计划'!$S70)</f>
        <v/>
      </c>
      <c r="L70" s="13" t="str">
        <f t="shared" si="2"/>
        <v/>
      </c>
      <c r="M70" s="13"/>
      <c r="N70" s="13"/>
      <c r="O70" s="13"/>
      <c r="P70" s="14"/>
      <c r="Q70" s="14"/>
      <c r="R70" s="14"/>
      <c r="S70" s="14"/>
      <c r="T70" s="14"/>
    </row>
    <row r="71" spans="1:20" ht="13.9">
      <c r="A71" s="11" t="str">
        <f>IF('03_年度学习计划'!$A71="","",'03_年度学习计划'!$A71)</f>
        <v/>
      </c>
      <c r="B71" s="11" t="str">
        <f>IF($A71="","",'03_年度学习计划'!$D71)</f>
        <v/>
      </c>
      <c r="C71" s="11" t="str">
        <f>IF($A71="","",'03_年度学习计划'!$F71)</f>
        <v/>
      </c>
      <c r="D71" s="11" t="str">
        <f>IF($A71="","",'03_年度学习计划'!$G71)</f>
        <v/>
      </c>
      <c r="E71" s="11" t="str">
        <f>IF($A71="","",'03_年度学习计划'!$E71)</f>
        <v/>
      </c>
      <c r="F71" s="11" t="str">
        <f>IF($A71="","",'03_年度学习计划'!$L71)</f>
        <v/>
      </c>
      <c r="G71" s="12" t="str">
        <f>IF($A71="","",'03_年度学习计划'!$N71)</f>
        <v/>
      </c>
      <c r="H71" s="12" t="str">
        <f>IF($A71="","",'03_年度学习计划'!$O71)</f>
        <v/>
      </c>
      <c r="I71" s="12" t="str">
        <f>IF($A71="","",'03_年度学习计划'!$P71)</f>
        <v/>
      </c>
      <c r="J71" s="11" t="str">
        <f>IF($A71="","",'03_年度学习计划'!$Q71)</f>
        <v/>
      </c>
      <c r="K71" s="11" t="str">
        <f>IF($A71="","",'03_年度学习计划'!$S71)</f>
        <v/>
      </c>
      <c r="L71" s="13" t="str">
        <f t="shared" si="2"/>
        <v/>
      </c>
      <c r="M71" s="13"/>
      <c r="N71" s="13"/>
      <c r="O71" s="13"/>
      <c r="P71" s="14"/>
      <c r="Q71" s="14"/>
      <c r="R71" s="14"/>
      <c r="S71" s="14"/>
      <c r="T71" s="14"/>
    </row>
    <row r="72" spans="1:20" ht="13.9">
      <c r="A72" s="11" t="str">
        <f>IF('03_年度学习计划'!$A72="","",'03_年度学习计划'!$A72)</f>
        <v/>
      </c>
      <c r="B72" s="11" t="str">
        <f>IF($A72="","",'03_年度学习计划'!$D72)</f>
        <v/>
      </c>
      <c r="C72" s="11" t="str">
        <f>IF($A72="","",'03_年度学习计划'!$F72)</f>
        <v/>
      </c>
      <c r="D72" s="11" t="str">
        <f>IF($A72="","",'03_年度学习计划'!$G72)</f>
        <v/>
      </c>
      <c r="E72" s="11" t="str">
        <f>IF($A72="","",'03_年度学习计划'!$E72)</f>
        <v/>
      </c>
      <c r="F72" s="11" t="str">
        <f>IF($A72="","",'03_年度学习计划'!$L72)</f>
        <v/>
      </c>
      <c r="G72" s="12" t="str">
        <f>IF($A72="","",'03_年度学习计划'!$N72)</f>
        <v/>
      </c>
      <c r="H72" s="12" t="str">
        <f>IF($A72="","",'03_年度学习计划'!$O72)</f>
        <v/>
      </c>
      <c r="I72" s="12" t="str">
        <f>IF($A72="","",'03_年度学习计划'!$P72)</f>
        <v/>
      </c>
      <c r="J72" s="11" t="str">
        <f>IF($A72="","",'03_年度学习计划'!$Q72)</f>
        <v/>
      </c>
      <c r="K72" s="11" t="str">
        <f>IF($A72="","",'03_年度学习计划'!$S72)</f>
        <v/>
      </c>
      <c r="L72" s="13" t="str">
        <f t="shared" si="2"/>
        <v/>
      </c>
      <c r="M72" s="13"/>
      <c r="N72" s="13"/>
      <c r="O72" s="13"/>
      <c r="P72" s="14"/>
      <c r="Q72" s="14"/>
      <c r="R72" s="14"/>
      <c r="S72" s="14"/>
      <c r="T72" s="14"/>
    </row>
    <row r="73" spans="1:20" ht="13.9">
      <c r="A73" s="11" t="str">
        <f>IF('03_年度学习计划'!$A73="","",'03_年度学习计划'!$A73)</f>
        <v/>
      </c>
      <c r="B73" s="11" t="str">
        <f>IF($A73="","",'03_年度学习计划'!$D73)</f>
        <v/>
      </c>
      <c r="C73" s="11" t="str">
        <f>IF($A73="","",'03_年度学习计划'!$F73)</f>
        <v/>
      </c>
      <c r="D73" s="11" t="str">
        <f>IF($A73="","",'03_年度学习计划'!$G73)</f>
        <v/>
      </c>
      <c r="E73" s="11" t="str">
        <f>IF($A73="","",'03_年度学习计划'!$E73)</f>
        <v/>
      </c>
      <c r="F73" s="11" t="str">
        <f>IF($A73="","",'03_年度学习计划'!$L73)</f>
        <v/>
      </c>
      <c r="G73" s="12" t="str">
        <f>IF($A73="","",'03_年度学习计划'!$N73)</f>
        <v/>
      </c>
      <c r="H73" s="12" t="str">
        <f>IF($A73="","",'03_年度学习计划'!$O73)</f>
        <v/>
      </c>
      <c r="I73" s="12" t="str">
        <f>IF($A73="","",'03_年度学习计划'!$P73)</f>
        <v/>
      </c>
      <c r="J73" s="11" t="str">
        <f>IF($A73="","",'03_年度学习计划'!$Q73)</f>
        <v/>
      </c>
      <c r="K73" s="11" t="str">
        <f>IF($A73="","",'03_年度学习计划'!$S73)</f>
        <v/>
      </c>
      <c r="L73" s="13" t="str">
        <f t="shared" si="2"/>
        <v/>
      </c>
      <c r="M73" s="13"/>
      <c r="N73" s="13"/>
      <c r="O73" s="13"/>
      <c r="P73" s="14"/>
      <c r="Q73" s="14"/>
      <c r="R73" s="14"/>
      <c r="S73" s="14"/>
      <c r="T73" s="14"/>
    </row>
    <row r="74" spans="1:20" ht="13.9">
      <c r="A74" s="11" t="str">
        <f>IF('03_年度学习计划'!$A74="","",'03_年度学习计划'!$A74)</f>
        <v/>
      </c>
      <c r="B74" s="11" t="str">
        <f>IF($A74="","",'03_年度学习计划'!$D74)</f>
        <v/>
      </c>
      <c r="C74" s="11" t="str">
        <f>IF($A74="","",'03_年度学习计划'!$F74)</f>
        <v/>
      </c>
      <c r="D74" s="11" t="str">
        <f>IF($A74="","",'03_年度学习计划'!$G74)</f>
        <v/>
      </c>
      <c r="E74" s="11" t="str">
        <f>IF($A74="","",'03_年度学习计划'!$E74)</f>
        <v/>
      </c>
      <c r="F74" s="11" t="str">
        <f>IF($A74="","",'03_年度学习计划'!$L74)</f>
        <v/>
      </c>
      <c r="G74" s="12" t="str">
        <f>IF($A74="","",'03_年度学习计划'!$N74)</f>
        <v/>
      </c>
      <c r="H74" s="12" t="str">
        <f>IF($A74="","",'03_年度学习计划'!$O74)</f>
        <v/>
      </c>
      <c r="I74" s="12" t="str">
        <f>IF($A74="","",'03_年度学习计划'!$P74)</f>
        <v/>
      </c>
      <c r="J74" s="11" t="str">
        <f>IF($A74="","",'03_年度学习计划'!$Q74)</f>
        <v/>
      </c>
      <c r="K74" s="11" t="str">
        <f>IF($A74="","",'03_年度学习计划'!$S74)</f>
        <v/>
      </c>
      <c r="L74" s="13" t="str">
        <f t="shared" si="2"/>
        <v/>
      </c>
      <c r="M74" s="13"/>
      <c r="N74" s="13"/>
      <c r="O74" s="13"/>
      <c r="P74" s="14"/>
      <c r="Q74" s="14"/>
      <c r="R74" s="14"/>
      <c r="S74" s="14"/>
      <c r="T74" s="14"/>
    </row>
    <row r="75" spans="1:20" ht="13.9">
      <c r="A75" s="11" t="str">
        <f>IF('03_年度学习计划'!$A75="","",'03_年度学习计划'!$A75)</f>
        <v/>
      </c>
      <c r="B75" s="11" t="str">
        <f>IF($A75="","",'03_年度学习计划'!$D75)</f>
        <v/>
      </c>
      <c r="C75" s="11" t="str">
        <f>IF($A75="","",'03_年度学习计划'!$F75)</f>
        <v/>
      </c>
      <c r="D75" s="11" t="str">
        <f>IF($A75="","",'03_年度学习计划'!$G75)</f>
        <v/>
      </c>
      <c r="E75" s="11" t="str">
        <f>IF($A75="","",'03_年度学习计划'!$E75)</f>
        <v/>
      </c>
      <c r="F75" s="11" t="str">
        <f>IF($A75="","",'03_年度学习计划'!$L75)</f>
        <v/>
      </c>
      <c r="G75" s="12" t="str">
        <f>IF($A75="","",'03_年度学习计划'!$N75)</f>
        <v/>
      </c>
      <c r="H75" s="12" t="str">
        <f>IF($A75="","",'03_年度学习计划'!$O75)</f>
        <v/>
      </c>
      <c r="I75" s="12" t="str">
        <f>IF($A75="","",'03_年度学习计划'!$P75)</f>
        <v/>
      </c>
      <c r="J75" s="11" t="str">
        <f>IF($A75="","",'03_年度学习计划'!$Q75)</f>
        <v/>
      </c>
      <c r="K75" s="11" t="str">
        <f>IF($A75="","",'03_年度学习计划'!$S75)</f>
        <v/>
      </c>
      <c r="L75" s="13" t="str">
        <f t="shared" si="2"/>
        <v/>
      </c>
      <c r="M75" s="13"/>
      <c r="N75" s="13"/>
      <c r="O75" s="13"/>
      <c r="P75" s="14"/>
      <c r="Q75" s="14"/>
      <c r="R75" s="14"/>
      <c r="S75" s="14"/>
      <c r="T75" s="14"/>
    </row>
    <row r="76" spans="1:20" ht="13.9">
      <c r="A76" s="11" t="str">
        <f>IF('03_年度学习计划'!$A76="","",'03_年度学习计划'!$A76)</f>
        <v/>
      </c>
      <c r="B76" s="11" t="str">
        <f>IF($A76="","",'03_年度学习计划'!$D76)</f>
        <v/>
      </c>
      <c r="C76" s="11" t="str">
        <f>IF($A76="","",'03_年度学习计划'!$F76)</f>
        <v/>
      </c>
      <c r="D76" s="11" t="str">
        <f>IF($A76="","",'03_年度学习计划'!$G76)</f>
        <v/>
      </c>
      <c r="E76" s="11" t="str">
        <f>IF($A76="","",'03_年度学习计划'!$E76)</f>
        <v/>
      </c>
      <c r="F76" s="11" t="str">
        <f>IF($A76="","",'03_年度学习计划'!$L76)</f>
        <v/>
      </c>
      <c r="G76" s="12" t="str">
        <f>IF($A76="","",'03_年度学习计划'!$N76)</f>
        <v/>
      </c>
      <c r="H76" s="12" t="str">
        <f>IF($A76="","",'03_年度学习计划'!$O76)</f>
        <v/>
      </c>
      <c r="I76" s="12" t="str">
        <f>IF($A76="","",'03_年度学习计划'!$P76)</f>
        <v/>
      </c>
      <c r="J76" s="11" t="str">
        <f>IF($A76="","",'03_年度学习计划'!$Q76)</f>
        <v/>
      </c>
      <c r="K76" s="11" t="str">
        <f>IF($A76="","",'03_年度学习计划'!$S76)</f>
        <v/>
      </c>
      <c r="L76" s="13" t="str">
        <f t="shared" si="2"/>
        <v/>
      </c>
      <c r="M76" s="13"/>
      <c r="N76" s="13"/>
      <c r="O76" s="13"/>
      <c r="P76" s="14"/>
      <c r="Q76" s="14"/>
      <c r="R76" s="14"/>
      <c r="S76" s="14"/>
      <c r="T76" s="14"/>
    </row>
    <row r="77" spans="1:20" ht="13.9">
      <c r="A77" s="11" t="str">
        <f>IF('03_年度学习计划'!$A77="","",'03_年度学习计划'!$A77)</f>
        <v/>
      </c>
      <c r="B77" s="11" t="str">
        <f>IF($A77="","",'03_年度学习计划'!$D77)</f>
        <v/>
      </c>
      <c r="C77" s="11" t="str">
        <f>IF($A77="","",'03_年度学习计划'!$F77)</f>
        <v/>
      </c>
      <c r="D77" s="11" t="str">
        <f>IF($A77="","",'03_年度学习计划'!$G77)</f>
        <v/>
      </c>
      <c r="E77" s="11" t="str">
        <f>IF($A77="","",'03_年度学习计划'!$E77)</f>
        <v/>
      </c>
      <c r="F77" s="11" t="str">
        <f>IF($A77="","",'03_年度学习计划'!$L77)</f>
        <v/>
      </c>
      <c r="G77" s="12" t="str">
        <f>IF($A77="","",'03_年度学习计划'!$N77)</f>
        <v/>
      </c>
      <c r="H77" s="12" t="str">
        <f>IF($A77="","",'03_年度学习计划'!$O77)</f>
        <v/>
      </c>
      <c r="I77" s="12" t="str">
        <f>IF($A77="","",'03_年度学习计划'!$P77)</f>
        <v/>
      </c>
      <c r="J77" s="11" t="str">
        <f>IF($A77="","",'03_年度学习计划'!$Q77)</f>
        <v/>
      </c>
      <c r="K77" s="11" t="str">
        <f>IF($A77="","",'03_年度学习计划'!$S77)</f>
        <v/>
      </c>
      <c r="L77" s="13" t="str">
        <f t="shared" si="2"/>
        <v/>
      </c>
      <c r="M77" s="13"/>
      <c r="N77" s="13"/>
      <c r="O77" s="13"/>
      <c r="P77" s="14"/>
      <c r="Q77" s="14"/>
      <c r="R77" s="14"/>
      <c r="S77" s="14"/>
      <c r="T77" s="14"/>
    </row>
    <row r="78" spans="1:20" ht="13.9">
      <c r="A78" s="11" t="str">
        <f>IF('03_年度学习计划'!$A78="","",'03_年度学习计划'!$A78)</f>
        <v/>
      </c>
      <c r="B78" s="11" t="str">
        <f>IF($A78="","",'03_年度学习计划'!$D78)</f>
        <v/>
      </c>
      <c r="C78" s="11" t="str">
        <f>IF($A78="","",'03_年度学习计划'!$F78)</f>
        <v/>
      </c>
      <c r="D78" s="11" t="str">
        <f>IF($A78="","",'03_年度学习计划'!$G78)</f>
        <v/>
      </c>
      <c r="E78" s="11" t="str">
        <f>IF($A78="","",'03_年度学习计划'!$E78)</f>
        <v/>
      </c>
      <c r="F78" s="11" t="str">
        <f>IF($A78="","",'03_年度学习计划'!$L78)</f>
        <v/>
      </c>
      <c r="G78" s="12" t="str">
        <f>IF($A78="","",'03_年度学习计划'!$N78)</f>
        <v/>
      </c>
      <c r="H78" s="12" t="str">
        <f>IF($A78="","",'03_年度学习计划'!$O78)</f>
        <v/>
      </c>
      <c r="I78" s="12" t="str">
        <f>IF($A78="","",'03_年度学习计划'!$P78)</f>
        <v/>
      </c>
      <c r="J78" s="11" t="str">
        <f>IF($A78="","",'03_年度学习计划'!$Q78)</f>
        <v/>
      </c>
      <c r="K78" s="11" t="str">
        <f>IF($A78="","",'03_年度学习计划'!$S78)</f>
        <v/>
      </c>
      <c r="L78" s="13" t="str">
        <f t="shared" si="2"/>
        <v/>
      </c>
      <c r="M78" s="13"/>
      <c r="N78" s="13"/>
      <c r="O78" s="13"/>
      <c r="P78" s="14"/>
      <c r="Q78" s="14"/>
      <c r="R78" s="14"/>
      <c r="S78" s="14"/>
      <c r="T78" s="14"/>
    </row>
    <row r="79" spans="1:20" ht="13.9">
      <c r="A79" s="11" t="str">
        <f>IF('03_年度学习计划'!$A79="","",'03_年度学习计划'!$A79)</f>
        <v/>
      </c>
      <c r="B79" s="11" t="str">
        <f>IF($A79="","",'03_年度学习计划'!$D79)</f>
        <v/>
      </c>
      <c r="C79" s="11" t="str">
        <f>IF($A79="","",'03_年度学习计划'!$F79)</f>
        <v/>
      </c>
      <c r="D79" s="11" t="str">
        <f>IF($A79="","",'03_年度学习计划'!$G79)</f>
        <v/>
      </c>
      <c r="E79" s="11" t="str">
        <f>IF($A79="","",'03_年度学习计划'!$E79)</f>
        <v/>
      </c>
      <c r="F79" s="11" t="str">
        <f>IF($A79="","",'03_年度学习计划'!$L79)</f>
        <v/>
      </c>
      <c r="G79" s="12" t="str">
        <f>IF($A79="","",'03_年度学习计划'!$N79)</f>
        <v/>
      </c>
      <c r="H79" s="12" t="str">
        <f>IF($A79="","",'03_年度学习计划'!$O79)</f>
        <v/>
      </c>
      <c r="I79" s="12" t="str">
        <f>IF($A79="","",'03_年度学习计划'!$P79)</f>
        <v/>
      </c>
      <c r="J79" s="11" t="str">
        <f>IF($A79="","",'03_年度学习计划'!$Q79)</f>
        <v/>
      </c>
      <c r="K79" s="11" t="str">
        <f>IF($A79="","",'03_年度学习计划'!$S79)</f>
        <v/>
      </c>
      <c r="L79" s="13" t="str">
        <f t="shared" si="2"/>
        <v/>
      </c>
      <c r="M79" s="13"/>
      <c r="N79" s="13"/>
      <c r="O79" s="13"/>
      <c r="P79" s="14"/>
      <c r="Q79" s="14"/>
      <c r="R79" s="14"/>
      <c r="S79" s="14"/>
      <c r="T79" s="14"/>
    </row>
    <row r="80" spans="1:20" ht="13.9">
      <c r="A80" s="11" t="str">
        <f>IF('03_年度学习计划'!$A80="","",'03_年度学习计划'!$A80)</f>
        <v/>
      </c>
      <c r="B80" s="11" t="str">
        <f>IF($A80="","",'03_年度学习计划'!$D80)</f>
        <v/>
      </c>
      <c r="C80" s="11" t="str">
        <f>IF($A80="","",'03_年度学习计划'!$F80)</f>
        <v/>
      </c>
      <c r="D80" s="11" t="str">
        <f>IF($A80="","",'03_年度学习计划'!$G80)</f>
        <v/>
      </c>
      <c r="E80" s="11" t="str">
        <f>IF($A80="","",'03_年度学习计划'!$E80)</f>
        <v/>
      </c>
      <c r="F80" s="11" t="str">
        <f>IF($A80="","",'03_年度学习计划'!$L80)</f>
        <v/>
      </c>
      <c r="G80" s="12" t="str">
        <f>IF($A80="","",'03_年度学习计划'!$N80)</f>
        <v/>
      </c>
      <c r="H80" s="12" t="str">
        <f>IF($A80="","",'03_年度学习计划'!$O80)</f>
        <v/>
      </c>
      <c r="I80" s="12" t="str">
        <f>IF($A80="","",'03_年度学习计划'!$P80)</f>
        <v/>
      </c>
      <c r="J80" s="11" t="str">
        <f>IF($A80="","",'03_年度学习计划'!$Q80)</f>
        <v/>
      </c>
      <c r="K80" s="11" t="str">
        <f>IF($A80="","",'03_年度学习计划'!$S80)</f>
        <v/>
      </c>
      <c r="L80" s="13" t="str">
        <f t="shared" si="2"/>
        <v/>
      </c>
      <c r="M80" s="13"/>
      <c r="N80" s="13"/>
      <c r="O80" s="13"/>
      <c r="P80" s="14"/>
      <c r="Q80" s="14"/>
      <c r="R80" s="14"/>
      <c r="S80" s="14"/>
      <c r="T80" s="14"/>
    </row>
    <row r="81" spans="1:20" ht="13.9">
      <c r="A81" s="11" t="str">
        <f>IF('03_年度学习计划'!$A81="","",'03_年度学习计划'!$A81)</f>
        <v/>
      </c>
      <c r="B81" s="11" t="str">
        <f>IF($A81="","",'03_年度学习计划'!$D81)</f>
        <v/>
      </c>
      <c r="C81" s="11" t="str">
        <f>IF($A81="","",'03_年度学习计划'!$F81)</f>
        <v/>
      </c>
      <c r="D81" s="11" t="str">
        <f>IF($A81="","",'03_年度学习计划'!$G81)</f>
        <v/>
      </c>
      <c r="E81" s="11" t="str">
        <f>IF($A81="","",'03_年度学习计划'!$E81)</f>
        <v/>
      </c>
      <c r="F81" s="11" t="str">
        <f>IF($A81="","",'03_年度学习计划'!$L81)</f>
        <v/>
      </c>
      <c r="G81" s="12" t="str">
        <f>IF($A81="","",'03_年度学习计划'!$N81)</f>
        <v/>
      </c>
      <c r="H81" s="12" t="str">
        <f>IF($A81="","",'03_年度学习计划'!$O81)</f>
        <v/>
      </c>
      <c r="I81" s="12" t="str">
        <f>IF($A81="","",'03_年度学习计划'!$P81)</f>
        <v/>
      </c>
      <c r="J81" s="11" t="str">
        <f>IF($A81="","",'03_年度学习计划'!$Q81)</f>
        <v/>
      </c>
      <c r="K81" s="11" t="str">
        <f>IF($A81="","",'03_年度学习计划'!$S81)</f>
        <v/>
      </c>
      <c r="L81" s="13" t="str">
        <f t="shared" si="2"/>
        <v/>
      </c>
      <c r="M81" s="13"/>
      <c r="N81" s="13"/>
      <c r="O81" s="13"/>
      <c r="P81" s="14"/>
      <c r="Q81" s="14"/>
      <c r="R81" s="14"/>
      <c r="S81" s="14"/>
      <c r="T81" s="14"/>
    </row>
    <row r="82" spans="1:20" ht="13.9">
      <c r="A82" s="11" t="str">
        <f>IF('03_年度学习计划'!$A82="","",'03_年度学习计划'!$A82)</f>
        <v/>
      </c>
      <c r="B82" s="11" t="str">
        <f>IF($A82="","",'03_年度学习计划'!$D82)</f>
        <v/>
      </c>
      <c r="C82" s="11" t="str">
        <f>IF($A82="","",'03_年度学习计划'!$F82)</f>
        <v/>
      </c>
      <c r="D82" s="11" t="str">
        <f>IF($A82="","",'03_年度学习计划'!$G82)</f>
        <v/>
      </c>
      <c r="E82" s="11" t="str">
        <f>IF($A82="","",'03_年度学习计划'!$E82)</f>
        <v/>
      </c>
      <c r="F82" s="11" t="str">
        <f>IF($A82="","",'03_年度学习计划'!$L82)</f>
        <v/>
      </c>
      <c r="G82" s="12" t="str">
        <f>IF($A82="","",'03_年度学习计划'!$N82)</f>
        <v/>
      </c>
      <c r="H82" s="12" t="str">
        <f>IF($A82="","",'03_年度学习计划'!$O82)</f>
        <v/>
      </c>
      <c r="I82" s="12" t="str">
        <f>IF($A82="","",'03_年度学习计划'!$P82)</f>
        <v/>
      </c>
      <c r="J82" s="11" t="str">
        <f>IF($A82="","",'03_年度学习计划'!$Q82)</f>
        <v/>
      </c>
      <c r="K82" s="11" t="str">
        <f>IF($A82="","",'03_年度学习计划'!$S82)</f>
        <v/>
      </c>
      <c r="L82" s="13" t="str">
        <f t="shared" si="2"/>
        <v/>
      </c>
      <c r="M82" s="13"/>
      <c r="N82" s="13"/>
      <c r="O82" s="13"/>
      <c r="P82" s="14"/>
      <c r="Q82" s="14"/>
      <c r="R82" s="14"/>
      <c r="S82" s="14"/>
      <c r="T82" s="14"/>
    </row>
    <row r="83" spans="1:20" ht="13.9">
      <c r="A83" s="11" t="str">
        <f>IF('03_年度学习计划'!$A83="","",'03_年度学习计划'!$A83)</f>
        <v/>
      </c>
      <c r="B83" s="11" t="str">
        <f>IF($A83="","",'03_年度学习计划'!$D83)</f>
        <v/>
      </c>
      <c r="C83" s="11" t="str">
        <f>IF($A83="","",'03_年度学习计划'!$F83)</f>
        <v/>
      </c>
      <c r="D83" s="11" t="str">
        <f>IF($A83="","",'03_年度学习计划'!$G83)</f>
        <v/>
      </c>
      <c r="E83" s="11" t="str">
        <f>IF($A83="","",'03_年度学习计划'!$E83)</f>
        <v/>
      </c>
      <c r="F83" s="11" t="str">
        <f>IF($A83="","",'03_年度学习计划'!$L83)</f>
        <v/>
      </c>
      <c r="G83" s="12" t="str">
        <f>IF($A83="","",'03_年度学习计划'!$N83)</f>
        <v/>
      </c>
      <c r="H83" s="12" t="str">
        <f>IF($A83="","",'03_年度学习计划'!$O83)</f>
        <v/>
      </c>
      <c r="I83" s="12" t="str">
        <f>IF($A83="","",'03_年度学习计划'!$P83)</f>
        <v/>
      </c>
      <c r="J83" s="11" t="str">
        <f>IF($A83="","",'03_年度学习计划'!$Q83)</f>
        <v/>
      </c>
      <c r="K83" s="11" t="str">
        <f>IF($A83="","",'03_年度学习计划'!$S83)</f>
        <v/>
      </c>
      <c r="L83" s="13" t="str">
        <f t="shared" si="2"/>
        <v/>
      </c>
      <c r="M83" s="13"/>
      <c r="N83" s="13"/>
      <c r="O83" s="13"/>
      <c r="P83" s="14"/>
      <c r="Q83" s="14"/>
      <c r="R83" s="14"/>
      <c r="S83" s="14"/>
      <c r="T83" s="14"/>
    </row>
    <row r="84" spans="1:20" ht="13.9">
      <c r="A84" s="11" t="str">
        <f>IF('03_年度学习计划'!$A84="","",'03_年度学习计划'!$A84)</f>
        <v/>
      </c>
      <c r="B84" s="11" t="str">
        <f>IF($A84="","",'03_年度学习计划'!$D84)</f>
        <v/>
      </c>
      <c r="C84" s="11" t="str">
        <f>IF($A84="","",'03_年度学习计划'!$F84)</f>
        <v/>
      </c>
      <c r="D84" s="11" t="str">
        <f>IF($A84="","",'03_年度学习计划'!$G84)</f>
        <v/>
      </c>
      <c r="E84" s="11" t="str">
        <f>IF($A84="","",'03_年度学习计划'!$E84)</f>
        <v/>
      </c>
      <c r="F84" s="11" t="str">
        <f>IF($A84="","",'03_年度学习计划'!$L84)</f>
        <v/>
      </c>
      <c r="G84" s="12" t="str">
        <f>IF($A84="","",'03_年度学习计划'!$N84)</f>
        <v/>
      </c>
      <c r="H84" s="12" t="str">
        <f>IF($A84="","",'03_年度学习计划'!$O84)</f>
        <v/>
      </c>
      <c r="I84" s="12" t="str">
        <f>IF($A84="","",'03_年度学习计划'!$P84)</f>
        <v/>
      </c>
      <c r="J84" s="11" t="str">
        <f>IF($A84="","",'03_年度学习计划'!$Q84)</f>
        <v/>
      </c>
      <c r="K84" s="11" t="str">
        <f>IF($A84="","",'03_年度学习计划'!$S84)</f>
        <v/>
      </c>
      <c r="L84" s="13" t="str">
        <f t="shared" si="2"/>
        <v/>
      </c>
      <c r="M84" s="13"/>
      <c r="N84" s="13"/>
      <c r="O84" s="13"/>
      <c r="P84" s="14"/>
      <c r="Q84" s="14"/>
      <c r="R84" s="14"/>
      <c r="S84" s="14"/>
      <c r="T84" s="14"/>
    </row>
    <row r="85" spans="1:20" ht="13.9">
      <c r="A85" s="11" t="str">
        <f>IF('03_年度学习计划'!$A85="","",'03_年度学习计划'!$A85)</f>
        <v/>
      </c>
      <c r="B85" s="11" t="str">
        <f>IF($A85="","",'03_年度学习计划'!$D85)</f>
        <v/>
      </c>
      <c r="C85" s="11" t="str">
        <f>IF($A85="","",'03_年度学习计划'!$F85)</f>
        <v/>
      </c>
      <c r="D85" s="11" t="str">
        <f>IF($A85="","",'03_年度学习计划'!$G85)</f>
        <v/>
      </c>
      <c r="E85" s="11" t="str">
        <f>IF($A85="","",'03_年度学习计划'!$E85)</f>
        <v/>
      </c>
      <c r="F85" s="11" t="str">
        <f>IF($A85="","",'03_年度学习计划'!$L85)</f>
        <v/>
      </c>
      <c r="G85" s="12" t="str">
        <f>IF($A85="","",'03_年度学习计划'!$N85)</f>
        <v/>
      </c>
      <c r="H85" s="12" t="str">
        <f>IF($A85="","",'03_年度学习计划'!$O85)</f>
        <v/>
      </c>
      <c r="I85" s="12" t="str">
        <f>IF($A85="","",'03_年度学习计划'!$P85)</f>
        <v/>
      </c>
      <c r="J85" s="11" t="str">
        <f>IF($A85="","",'03_年度学习计划'!$Q85)</f>
        <v/>
      </c>
      <c r="K85" s="11" t="str">
        <f>IF($A85="","",'03_年度学习计划'!$S85)</f>
        <v/>
      </c>
      <c r="L85" s="13" t="str">
        <f t="shared" si="2"/>
        <v/>
      </c>
      <c r="M85" s="13"/>
      <c r="N85" s="13"/>
      <c r="O85" s="13"/>
      <c r="P85" s="14"/>
      <c r="Q85" s="14"/>
      <c r="R85" s="14"/>
      <c r="S85" s="14"/>
      <c r="T85" s="14"/>
    </row>
    <row r="86" spans="1:20" ht="13.9">
      <c r="A86" s="11" t="str">
        <f>IF('03_年度学习计划'!$A86="","",'03_年度学习计划'!$A86)</f>
        <v/>
      </c>
      <c r="B86" s="11" t="str">
        <f>IF($A86="","",'03_年度学习计划'!$D86)</f>
        <v/>
      </c>
      <c r="C86" s="11" t="str">
        <f>IF($A86="","",'03_年度学习计划'!$F86)</f>
        <v/>
      </c>
      <c r="D86" s="11" t="str">
        <f>IF($A86="","",'03_年度学习计划'!$G86)</f>
        <v/>
      </c>
      <c r="E86" s="11" t="str">
        <f>IF($A86="","",'03_年度学习计划'!$E86)</f>
        <v/>
      </c>
      <c r="F86" s="11" t="str">
        <f>IF($A86="","",'03_年度学习计划'!$L86)</f>
        <v/>
      </c>
      <c r="G86" s="12" t="str">
        <f>IF($A86="","",'03_年度学习计划'!$N86)</f>
        <v/>
      </c>
      <c r="H86" s="12" t="str">
        <f>IF($A86="","",'03_年度学习计划'!$O86)</f>
        <v/>
      </c>
      <c r="I86" s="12" t="str">
        <f>IF($A86="","",'03_年度学习计划'!$P86)</f>
        <v/>
      </c>
      <c r="J86" s="11" t="str">
        <f>IF($A86="","",'03_年度学习计划'!$Q86)</f>
        <v/>
      </c>
      <c r="K86" s="11" t="str">
        <f>IF($A86="","",'03_年度学习计划'!$S86)</f>
        <v/>
      </c>
      <c r="L86" s="13" t="str">
        <f t="shared" si="2"/>
        <v/>
      </c>
      <c r="M86" s="13"/>
      <c r="N86" s="13"/>
      <c r="O86" s="13"/>
      <c r="P86" s="14"/>
      <c r="Q86" s="14"/>
      <c r="R86" s="14"/>
      <c r="S86" s="14"/>
      <c r="T86" s="14"/>
    </row>
    <row r="87" spans="1:20" ht="13.9">
      <c r="A87" s="11" t="str">
        <f>IF('03_年度学习计划'!$A87="","",'03_年度学习计划'!$A87)</f>
        <v/>
      </c>
      <c r="B87" s="11" t="str">
        <f>IF($A87="","",'03_年度学习计划'!$D87)</f>
        <v/>
      </c>
      <c r="C87" s="11" t="str">
        <f>IF($A87="","",'03_年度学习计划'!$F87)</f>
        <v/>
      </c>
      <c r="D87" s="11" t="str">
        <f>IF($A87="","",'03_年度学习计划'!$G87)</f>
        <v/>
      </c>
      <c r="E87" s="11" t="str">
        <f>IF($A87="","",'03_年度学习计划'!$E87)</f>
        <v/>
      </c>
      <c r="F87" s="11" t="str">
        <f>IF($A87="","",'03_年度学习计划'!$L87)</f>
        <v/>
      </c>
      <c r="G87" s="12" t="str">
        <f>IF($A87="","",'03_年度学习计划'!$N87)</f>
        <v/>
      </c>
      <c r="H87" s="12" t="str">
        <f>IF($A87="","",'03_年度学习计划'!$O87)</f>
        <v/>
      </c>
      <c r="I87" s="12" t="str">
        <f>IF($A87="","",'03_年度学习计划'!$P87)</f>
        <v/>
      </c>
      <c r="J87" s="11" t="str">
        <f>IF($A87="","",'03_年度学习计划'!$Q87)</f>
        <v/>
      </c>
      <c r="K87" s="11" t="str">
        <f>IF($A87="","",'03_年度学习计划'!$S87)</f>
        <v/>
      </c>
      <c r="L87" s="13" t="str">
        <f t="shared" si="2"/>
        <v/>
      </c>
      <c r="M87" s="13"/>
      <c r="N87" s="13"/>
      <c r="O87" s="13"/>
      <c r="P87" s="14"/>
      <c r="Q87" s="14"/>
      <c r="R87" s="14"/>
      <c r="S87" s="14"/>
      <c r="T87" s="14"/>
    </row>
    <row r="88" spans="1:20" ht="13.9">
      <c r="A88" s="11" t="str">
        <f>IF('03_年度学习计划'!$A88="","",'03_年度学习计划'!$A88)</f>
        <v/>
      </c>
      <c r="B88" s="11" t="str">
        <f>IF($A88="","",'03_年度学习计划'!$D88)</f>
        <v/>
      </c>
      <c r="C88" s="11" t="str">
        <f>IF($A88="","",'03_年度学习计划'!$F88)</f>
        <v/>
      </c>
      <c r="D88" s="11" t="str">
        <f>IF($A88="","",'03_年度学习计划'!$G88)</f>
        <v/>
      </c>
      <c r="E88" s="11" t="str">
        <f>IF($A88="","",'03_年度学习计划'!$E88)</f>
        <v/>
      </c>
      <c r="F88" s="11" t="str">
        <f>IF($A88="","",'03_年度学习计划'!$L88)</f>
        <v/>
      </c>
      <c r="G88" s="12" t="str">
        <f>IF($A88="","",'03_年度学习计划'!$N88)</f>
        <v/>
      </c>
      <c r="H88" s="12" t="str">
        <f>IF($A88="","",'03_年度学习计划'!$O88)</f>
        <v/>
      </c>
      <c r="I88" s="12" t="str">
        <f>IF($A88="","",'03_年度学习计划'!$P88)</f>
        <v/>
      </c>
      <c r="J88" s="11" t="str">
        <f>IF($A88="","",'03_年度学习计划'!$Q88)</f>
        <v/>
      </c>
      <c r="K88" s="11" t="str">
        <f>IF($A88="","",'03_年度学习计划'!$S88)</f>
        <v/>
      </c>
      <c r="L88" s="13" t="str">
        <f t="shared" si="2"/>
        <v/>
      </c>
      <c r="M88" s="13"/>
      <c r="N88" s="13"/>
      <c r="O88" s="13"/>
      <c r="P88" s="14"/>
      <c r="Q88" s="14"/>
      <c r="R88" s="14"/>
      <c r="S88" s="14"/>
      <c r="T88" s="14"/>
    </row>
    <row r="89" spans="1:20" ht="13.9">
      <c r="A89" s="11" t="str">
        <f>IF('03_年度学习计划'!$A89="","",'03_年度学习计划'!$A89)</f>
        <v/>
      </c>
      <c r="B89" s="11" t="str">
        <f>IF($A89="","",'03_年度学习计划'!$D89)</f>
        <v/>
      </c>
      <c r="C89" s="11" t="str">
        <f>IF($A89="","",'03_年度学习计划'!$F89)</f>
        <v/>
      </c>
      <c r="D89" s="11" t="str">
        <f>IF($A89="","",'03_年度学习计划'!$G89)</f>
        <v/>
      </c>
      <c r="E89" s="11" t="str">
        <f>IF($A89="","",'03_年度学习计划'!$E89)</f>
        <v/>
      </c>
      <c r="F89" s="11" t="str">
        <f>IF($A89="","",'03_年度学习计划'!$L89)</f>
        <v/>
      </c>
      <c r="G89" s="12" t="str">
        <f>IF($A89="","",'03_年度学习计划'!$N89)</f>
        <v/>
      </c>
      <c r="H89" s="12" t="str">
        <f>IF($A89="","",'03_年度学习计划'!$O89)</f>
        <v/>
      </c>
      <c r="I89" s="12" t="str">
        <f>IF($A89="","",'03_年度学习计划'!$P89)</f>
        <v/>
      </c>
      <c r="J89" s="11" t="str">
        <f>IF($A89="","",'03_年度学习计划'!$Q89)</f>
        <v/>
      </c>
      <c r="K89" s="11" t="str">
        <f>IF($A89="","",'03_年度学习计划'!$S89)</f>
        <v/>
      </c>
      <c r="L89" s="13" t="str">
        <f t="shared" si="2"/>
        <v/>
      </c>
      <c r="M89" s="13"/>
      <c r="N89" s="13"/>
      <c r="O89" s="13"/>
      <c r="P89" s="14"/>
      <c r="Q89" s="14"/>
      <c r="R89" s="14"/>
      <c r="S89" s="14"/>
      <c r="T89" s="14"/>
    </row>
    <row r="90" spans="1:20" ht="13.9">
      <c r="A90" s="11" t="str">
        <f>IF('03_年度学习计划'!$A90="","",'03_年度学习计划'!$A90)</f>
        <v/>
      </c>
      <c r="B90" s="11" t="str">
        <f>IF($A90="","",'03_年度学习计划'!$D90)</f>
        <v/>
      </c>
      <c r="C90" s="11" t="str">
        <f>IF($A90="","",'03_年度学习计划'!$F90)</f>
        <v/>
      </c>
      <c r="D90" s="11" t="str">
        <f>IF($A90="","",'03_年度学习计划'!$G90)</f>
        <v/>
      </c>
      <c r="E90" s="11" t="str">
        <f>IF($A90="","",'03_年度学习计划'!$E90)</f>
        <v/>
      </c>
      <c r="F90" s="11" t="str">
        <f>IF($A90="","",'03_年度学习计划'!$L90)</f>
        <v/>
      </c>
      <c r="G90" s="12" t="str">
        <f>IF($A90="","",'03_年度学习计划'!$N90)</f>
        <v/>
      </c>
      <c r="H90" s="12" t="str">
        <f>IF($A90="","",'03_年度学习计划'!$O90)</f>
        <v/>
      </c>
      <c r="I90" s="12" t="str">
        <f>IF($A90="","",'03_年度学习计划'!$P90)</f>
        <v/>
      </c>
      <c r="J90" s="11" t="str">
        <f>IF($A90="","",'03_年度学习计划'!$Q90)</f>
        <v/>
      </c>
      <c r="K90" s="11" t="str">
        <f>IF($A90="","",'03_年度学习计划'!$S90)</f>
        <v/>
      </c>
      <c r="L90" s="13" t="str">
        <f t="shared" si="2"/>
        <v/>
      </c>
      <c r="M90" s="13"/>
      <c r="N90" s="13"/>
      <c r="O90" s="13"/>
      <c r="P90" s="14"/>
      <c r="Q90" s="14"/>
      <c r="R90" s="14"/>
      <c r="S90" s="14"/>
      <c r="T90" s="14"/>
    </row>
    <row r="91" spans="1:20" ht="13.9">
      <c r="A91" s="11" t="str">
        <f>IF('03_年度学习计划'!$A91="","",'03_年度学习计划'!$A91)</f>
        <v/>
      </c>
      <c r="B91" s="11" t="str">
        <f>IF($A91="","",'03_年度学习计划'!$D91)</f>
        <v/>
      </c>
      <c r="C91" s="11" t="str">
        <f>IF($A91="","",'03_年度学习计划'!$F91)</f>
        <v/>
      </c>
      <c r="D91" s="11" t="str">
        <f>IF($A91="","",'03_年度学习计划'!$G91)</f>
        <v/>
      </c>
      <c r="E91" s="11" t="str">
        <f>IF($A91="","",'03_年度学习计划'!$E91)</f>
        <v/>
      </c>
      <c r="F91" s="11" t="str">
        <f>IF($A91="","",'03_年度学习计划'!$L91)</f>
        <v/>
      </c>
      <c r="G91" s="12" t="str">
        <f>IF($A91="","",'03_年度学习计划'!$N91)</f>
        <v/>
      </c>
      <c r="H91" s="12" t="str">
        <f>IF($A91="","",'03_年度学习计划'!$O91)</f>
        <v/>
      </c>
      <c r="I91" s="12" t="str">
        <f>IF($A91="","",'03_年度学习计划'!$P91)</f>
        <v/>
      </c>
      <c r="J91" s="11" t="str">
        <f>IF($A91="","",'03_年度学习计划'!$Q91)</f>
        <v/>
      </c>
      <c r="K91" s="11" t="str">
        <f>IF($A91="","",'03_年度学习计划'!$S91)</f>
        <v/>
      </c>
      <c r="L91" s="13" t="str">
        <f t="shared" si="2"/>
        <v/>
      </c>
      <c r="M91" s="13"/>
      <c r="N91" s="13"/>
      <c r="O91" s="13"/>
      <c r="P91" s="14"/>
      <c r="Q91" s="14"/>
      <c r="R91" s="14"/>
      <c r="S91" s="14"/>
      <c r="T91" s="14"/>
    </row>
    <row r="92" spans="1:20" ht="13.9">
      <c r="A92" s="11" t="str">
        <f>IF('03_年度学习计划'!$A92="","",'03_年度学习计划'!$A92)</f>
        <v/>
      </c>
      <c r="B92" s="11" t="str">
        <f>IF($A92="","",'03_年度学习计划'!$D92)</f>
        <v/>
      </c>
      <c r="C92" s="11" t="str">
        <f>IF($A92="","",'03_年度学习计划'!$F92)</f>
        <v/>
      </c>
      <c r="D92" s="11" t="str">
        <f>IF($A92="","",'03_年度学习计划'!$G92)</f>
        <v/>
      </c>
      <c r="E92" s="11" t="str">
        <f>IF($A92="","",'03_年度学习计划'!$E92)</f>
        <v/>
      </c>
      <c r="F92" s="11" t="str">
        <f>IF($A92="","",'03_年度学习计划'!$L92)</f>
        <v/>
      </c>
      <c r="G92" s="12" t="str">
        <f>IF($A92="","",'03_年度学习计划'!$N92)</f>
        <v/>
      </c>
      <c r="H92" s="12" t="str">
        <f>IF($A92="","",'03_年度学习计划'!$O92)</f>
        <v/>
      </c>
      <c r="I92" s="12" t="str">
        <f>IF($A92="","",'03_年度学习计划'!$P92)</f>
        <v/>
      </c>
      <c r="J92" s="11" t="str">
        <f>IF($A92="","",'03_年度学习计划'!$Q92)</f>
        <v/>
      </c>
      <c r="K92" s="11" t="str">
        <f>IF($A92="","",'03_年度学习计划'!$S92)</f>
        <v/>
      </c>
      <c r="L92" s="13" t="str">
        <f t="shared" si="2"/>
        <v/>
      </c>
      <c r="M92" s="13"/>
      <c r="N92" s="13"/>
      <c r="O92" s="13"/>
      <c r="P92" s="14"/>
      <c r="Q92" s="14"/>
      <c r="R92" s="14"/>
      <c r="S92" s="14"/>
      <c r="T92" s="14"/>
    </row>
    <row r="93" spans="1:20" ht="13.9">
      <c r="A93" s="11" t="str">
        <f>IF('03_年度学习计划'!$A93="","",'03_年度学习计划'!$A93)</f>
        <v/>
      </c>
      <c r="B93" s="11" t="str">
        <f>IF($A93="","",'03_年度学习计划'!$D93)</f>
        <v/>
      </c>
      <c r="C93" s="11" t="str">
        <f>IF($A93="","",'03_年度学习计划'!$F93)</f>
        <v/>
      </c>
      <c r="D93" s="11" t="str">
        <f>IF($A93="","",'03_年度学习计划'!$G93)</f>
        <v/>
      </c>
      <c r="E93" s="11" t="str">
        <f>IF($A93="","",'03_年度学习计划'!$E93)</f>
        <v/>
      </c>
      <c r="F93" s="11" t="str">
        <f>IF($A93="","",'03_年度学习计划'!$L93)</f>
        <v/>
      </c>
      <c r="G93" s="12" t="str">
        <f>IF($A93="","",'03_年度学习计划'!$N93)</f>
        <v/>
      </c>
      <c r="H93" s="12" t="str">
        <f>IF($A93="","",'03_年度学习计划'!$O93)</f>
        <v/>
      </c>
      <c r="I93" s="12" t="str">
        <f>IF($A93="","",'03_年度学习计划'!$P93)</f>
        <v/>
      </c>
      <c r="J93" s="11" t="str">
        <f>IF($A93="","",'03_年度学习计划'!$Q93)</f>
        <v/>
      </c>
      <c r="K93" s="11" t="str">
        <f>IF($A93="","",'03_年度学习计划'!$S93)</f>
        <v/>
      </c>
      <c r="L93" s="13" t="str">
        <f t="shared" si="2"/>
        <v/>
      </c>
      <c r="M93" s="13"/>
      <c r="N93" s="13"/>
      <c r="O93" s="13"/>
      <c r="P93" s="14"/>
      <c r="Q93" s="14"/>
      <c r="R93" s="14"/>
      <c r="S93" s="14"/>
      <c r="T93" s="14"/>
    </row>
    <row r="94" spans="1:20" ht="13.9">
      <c r="A94" s="11" t="str">
        <f>IF('03_年度学习计划'!$A94="","",'03_年度学习计划'!$A94)</f>
        <v/>
      </c>
      <c r="B94" s="11" t="str">
        <f>IF($A94="","",'03_年度学习计划'!$D94)</f>
        <v/>
      </c>
      <c r="C94" s="11" t="str">
        <f>IF($A94="","",'03_年度学习计划'!$F94)</f>
        <v/>
      </c>
      <c r="D94" s="11" t="str">
        <f>IF($A94="","",'03_年度学习计划'!$G94)</f>
        <v/>
      </c>
      <c r="E94" s="11" t="str">
        <f>IF($A94="","",'03_年度学习计划'!$E94)</f>
        <v/>
      </c>
      <c r="F94" s="11" t="str">
        <f>IF($A94="","",'03_年度学习计划'!$L94)</f>
        <v/>
      </c>
      <c r="G94" s="12" t="str">
        <f>IF($A94="","",'03_年度学习计划'!$N94)</f>
        <v/>
      </c>
      <c r="H94" s="12" t="str">
        <f>IF($A94="","",'03_年度学习计划'!$O94)</f>
        <v/>
      </c>
      <c r="I94" s="12" t="str">
        <f>IF($A94="","",'03_年度学习计划'!$P94)</f>
        <v/>
      </c>
      <c r="J94" s="11" t="str">
        <f>IF($A94="","",'03_年度学习计划'!$Q94)</f>
        <v/>
      </c>
      <c r="K94" s="11" t="str">
        <f>IF($A94="","",'03_年度学习计划'!$S94)</f>
        <v/>
      </c>
      <c r="L94" s="13" t="str">
        <f t="shared" si="2"/>
        <v/>
      </c>
      <c r="M94" s="13"/>
      <c r="N94" s="13"/>
      <c r="O94" s="13"/>
      <c r="P94" s="14"/>
      <c r="Q94" s="14"/>
      <c r="R94" s="14"/>
      <c r="S94" s="14"/>
      <c r="T94" s="14"/>
    </row>
    <row r="95" spans="1:20" ht="13.9">
      <c r="A95" s="11" t="str">
        <f>IF('03_年度学习计划'!$A95="","",'03_年度学习计划'!$A95)</f>
        <v/>
      </c>
      <c r="B95" s="11" t="str">
        <f>IF($A95="","",'03_年度学习计划'!$D95)</f>
        <v/>
      </c>
      <c r="C95" s="11" t="str">
        <f>IF($A95="","",'03_年度学习计划'!$F95)</f>
        <v/>
      </c>
      <c r="D95" s="11" t="str">
        <f>IF($A95="","",'03_年度学习计划'!$G95)</f>
        <v/>
      </c>
      <c r="E95" s="11" t="str">
        <f>IF($A95="","",'03_年度学习计划'!$E95)</f>
        <v/>
      </c>
      <c r="F95" s="11" t="str">
        <f>IF($A95="","",'03_年度学习计划'!$L95)</f>
        <v/>
      </c>
      <c r="G95" s="12" t="str">
        <f>IF($A95="","",'03_年度学习计划'!$N95)</f>
        <v/>
      </c>
      <c r="H95" s="12" t="str">
        <f>IF($A95="","",'03_年度学习计划'!$O95)</f>
        <v/>
      </c>
      <c r="I95" s="12" t="str">
        <f>IF($A95="","",'03_年度学习计划'!$P95)</f>
        <v/>
      </c>
      <c r="J95" s="11" t="str">
        <f>IF($A95="","",'03_年度学习计划'!$Q95)</f>
        <v/>
      </c>
      <c r="K95" s="11" t="str">
        <f>IF($A95="","",'03_年度学习计划'!$S95)</f>
        <v/>
      </c>
      <c r="L95" s="13" t="str">
        <f t="shared" si="2"/>
        <v/>
      </c>
      <c r="M95" s="13"/>
      <c r="N95" s="13"/>
      <c r="O95" s="13"/>
      <c r="P95" s="14"/>
      <c r="Q95" s="14"/>
      <c r="R95" s="14"/>
      <c r="S95" s="14"/>
      <c r="T95" s="14"/>
    </row>
    <row r="96" spans="1:20" ht="13.9">
      <c r="A96" s="11" t="str">
        <f>IF('03_年度学习计划'!$A96="","",'03_年度学习计划'!$A96)</f>
        <v/>
      </c>
      <c r="B96" s="11" t="str">
        <f>IF($A96="","",'03_年度学习计划'!$D96)</f>
        <v/>
      </c>
      <c r="C96" s="11" t="str">
        <f>IF($A96="","",'03_年度学习计划'!$F96)</f>
        <v/>
      </c>
      <c r="D96" s="11" t="str">
        <f>IF($A96="","",'03_年度学习计划'!$G96)</f>
        <v/>
      </c>
      <c r="E96" s="11" t="str">
        <f>IF($A96="","",'03_年度学习计划'!$E96)</f>
        <v/>
      </c>
      <c r="F96" s="11" t="str">
        <f>IF($A96="","",'03_年度学习计划'!$L96)</f>
        <v/>
      </c>
      <c r="G96" s="12" t="str">
        <f>IF($A96="","",'03_年度学习计划'!$N96)</f>
        <v/>
      </c>
      <c r="H96" s="12" t="str">
        <f>IF($A96="","",'03_年度学习计划'!$O96)</f>
        <v/>
      </c>
      <c r="I96" s="12" t="str">
        <f>IF($A96="","",'03_年度学习计划'!$P96)</f>
        <v/>
      </c>
      <c r="J96" s="11" t="str">
        <f>IF($A96="","",'03_年度学习计划'!$Q96)</f>
        <v/>
      </c>
      <c r="K96" s="11" t="str">
        <f>IF($A96="","",'03_年度学习计划'!$S96)</f>
        <v/>
      </c>
      <c r="L96" s="13" t="str">
        <f t="shared" si="2"/>
        <v/>
      </c>
      <c r="M96" s="13"/>
      <c r="N96" s="13"/>
      <c r="O96" s="13"/>
      <c r="P96" s="14"/>
      <c r="Q96" s="14"/>
      <c r="R96" s="14"/>
      <c r="S96" s="14"/>
      <c r="T96" s="14"/>
    </row>
    <row r="97" spans="1:20" ht="13.9">
      <c r="A97" s="11" t="str">
        <f>IF('03_年度学习计划'!$A97="","",'03_年度学习计划'!$A97)</f>
        <v/>
      </c>
      <c r="B97" s="11" t="str">
        <f>IF($A97="","",'03_年度学习计划'!$D97)</f>
        <v/>
      </c>
      <c r="C97" s="11" t="str">
        <f>IF($A97="","",'03_年度学习计划'!$F97)</f>
        <v/>
      </c>
      <c r="D97" s="11" t="str">
        <f>IF($A97="","",'03_年度学习计划'!$G97)</f>
        <v/>
      </c>
      <c r="E97" s="11" t="str">
        <f>IF($A97="","",'03_年度学习计划'!$E97)</f>
        <v/>
      </c>
      <c r="F97" s="11" t="str">
        <f>IF($A97="","",'03_年度学习计划'!$L97)</f>
        <v/>
      </c>
      <c r="G97" s="12" t="str">
        <f>IF($A97="","",'03_年度学习计划'!$N97)</f>
        <v/>
      </c>
      <c r="H97" s="12" t="str">
        <f>IF($A97="","",'03_年度学习计划'!$O97)</f>
        <v/>
      </c>
      <c r="I97" s="12" t="str">
        <f>IF($A97="","",'03_年度学习计划'!$P97)</f>
        <v/>
      </c>
      <c r="J97" s="11" t="str">
        <f>IF($A97="","",'03_年度学习计划'!$Q97)</f>
        <v/>
      </c>
      <c r="K97" s="11" t="str">
        <f>IF($A97="","",'03_年度学习计划'!$S97)</f>
        <v/>
      </c>
      <c r="L97" s="13" t="str">
        <f t="shared" si="2"/>
        <v/>
      </c>
      <c r="M97" s="13"/>
      <c r="N97" s="13"/>
      <c r="O97" s="13"/>
      <c r="P97" s="14"/>
      <c r="Q97" s="14"/>
      <c r="R97" s="14"/>
      <c r="S97" s="14"/>
      <c r="T97" s="14"/>
    </row>
    <row r="98" spans="1:20" ht="13.9">
      <c r="A98" s="11" t="str">
        <f>IF('03_年度学习计划'!$A98="","",'03_年度学习计划'!$A98)</f>
        <v/>
      </c>
      <c r="B98" s="11" t="str">
        <f>IF($A98="","",'03_年度学习计划'!$D98)</f>
        <v/>
      </c>
      <c r="C98" s="11" t="str">
        <f>IF($A98="","",'03_年度学习计划'!$F98)</f>
        <v/>
      </c>
      <c r="D98" s="11" t="str">
        <f>IF($A98="","",'03_年度学习计划'!$G98)</f>
        <v/>
      </c>
      <c r="E98" s="11" t="str">
        <f>IF($A98="","",'03_年度学习计划'!$E98)</f>
        <v/>
      </c>
      <c r="F98" s="11" t="str">
        <f>IF($A98="","",'03_年度学习计划'!$L98)</f>
        <v/>
      </c>
      <c r="G98" s="12" t="str">
        <f>IF($A98="","",'03_年度学习计划'!$N98)</f>
        <v/>
      </c>
      <c r="H98" s="12" t="str">
        <f>IF($A98="","",'03_年度学习计划'!$O98)</f>
        <v/>
      </c>
      <c r="I98" s="12" t="str">
        <f>IF($A98="","",'03_年度学习计划'!$P98)</f>
        <v/>
      </c>
      <c r="J98" s="11" t="str">
        <f>IF($A98="","",'03_年度学习计划'!$Q98)</f>
        <v/>
      </c>
      <c r="K98" s="11" t="str">
        <f>IF($A98="","",'03_年度学习计划'!$S98)</f>
        <v/>
      </c>
      <c r="L98" s="13" t="str">
        <f t="shared" ref="L98:L129" si="3">IF($A98="","","未开始")</f>
        <v/>
      </c>
      <c r="M98" s="13"/>
      <c r="N98" s="13"/>
      <c r="O98" s="13"/>
      <c r="P98" s="14"/>
      <c r="Q98" s="14"/>
      <c r="R98" s="14"/>
      <c r="S98" s="14"/>
      <c r="T98" s="14"/>
    </row>
    <row r="99" spans="1:20" ht="13.9">
      <c r="A99" s="11" t="str">
        <f>IF('03_年度学习计划'!$A99="","",'03_年度学习计划'!$A99)</f>
        <v/>
      </c>
      <c r="B99" s="11" t="str">
        <f>IF($A99="","",'03_年度学习计划'!$D99)</f>
        <v/>
      </c>
      <c r="C99" s="11" t="str">
        <f>IF($A99="","",'03_年度学习计划'!$F99)</f>
        <v/>
      </c>
      <c r="D99" s="11" t="str">
        <f>IF($A99="","",'03_年度学习计划'!$G99)</f>
        <v/>
      </c>
      <c r="E99" s="11" t="str">
        <f>IF($A99="","",'03_年度学习计划'!$E99)</f>
        <v/>
      </c>
      <c r="F99" s="11" t="str">
        <f>IF($A99="","",'03_年度学习计划'!$L99)</f>
        <v/>
      </c>
      <c r="G99" s="12" t="str">
        <f>IF($A99="","",'03_年度学习计划'!$N99)</f>
        <v/>
      </c>
      <c r="H99" s="12" t="str">
        <f>IF($A99="","",'03_年度学习计划'!$O99)</f>
        <v/>
      </c>
      <c r="I99" s="12" t="str">
        <f>IF($A99="","",'03_年度学习计划'!$P99)</f>
        <v/>
      </c>
      <c r="J99" s="11" t="str">
        <f>IF($A99="","",'03_年度学习计划'!$Q99)</f>
        <v/>
      </c>
      <c r="K99" s="11" t="str">
        <f>IF($A99="","",'03_年度学习计划'!$S99)</f>
        <v/>
      </c>
      <c r="L99" s="13" t="str">
        <f t="shared" si="3"/>
        <v/>
      </c>
      <c r="M99" s="13"/>
      <c r="N99" s="13"/>
      <c r="O99" s="13"/>
      <c r="P99" s="14"/>
      <c r="Q99" s="14"/>
      <c r="R99" s="14"/>
      <c r="S99" s="14"/>
      <c r="T99" s="14"/>
    </row>
    <row r="100" spans="1:20" ht="13.9">
      <c r="A100" s="11" t="str">
        <f>IF('03_年度学习计划'!$A100="","",'03_年度学习计划'!$A100)</f>
        <v/>
      </c>
      <c r="B100" s="11" t="str">
        <f>IF($A100="","",'03_年度学习计划'!$D100)</f>
        <v/>
      </c>
      <c r="C100" s="11" t="str">
        <f>IF($A100="","",'03_年度学习计划'!$F100)</f>
        <v/>
      </c>
      <c r="D100" s="11" t="str">
        <f>IF($A100="","",'03_年度学习计划'!$G100)</f>
        <v/>
      </c>
      <c r="E100" s="11" t="str">
        <f>IF($A100="","",'03_年度学习计划'!$E100)</f>
        <v/>
      </c>
      <c r="F100" s="11" t="str">
        <f>IF($A100="","",'03_年度学习计划'!$L100)</f>
        <v/>
      </c>
      <c r="G100" s="12" t="str">
        <f>IF($A100="","",'03_年度学习计划'!$N100)</f>
        <v/>
      </c>
      <c r="H100" s="12" t="str">
        <f>IF($A100="","",'03_年度学习计划'!$O100)</f>
        <v/>
      </c>
      <c r="I100" s="12" t="str">
        <f>IF($A100="","",'03_年度学习计划'!$P100)</f>
        <v/>
      </c>
      <c r="J100" s="11" t="str">
        <f>IF($A100="","",'03_年度学习计划'!$Q100)</f>
        <v/>
      </c>
      <c r="K100" s="11" t="str">
        <f>IF($A100="","",'03_年度学习计划'!$S100)</f>
        <v/>
      </c>
      <c r="L100" s="13" t="str">
        <f t="shared" si="3"/>
        <v/>
      </c>
      <c r="M100" s="13"/>
      <c r="N100" s="13"/>
      <c r="O100" s="13"/>
      <c r="P100" s="14"/>
      <c r="Q100" s="14"/>
      <c r="R100" s="14"/>
      <c r="S100" s="14"/>
      <c r="T100" s="14"/>
    </row>
    <row r="101" spans="1:20" ht="13.9">
      <c r="A101" s="11" t="str">
        <f>IF('03_年度学习计划'!$A101="","",'03_年度学习计划'!$A101)</f>
        <v/>
      </c>
      <c r="B101" s="11" t="str">
        <f>IF($A101="","",'03_年度学习计划'!$D101)</f>
        <v/>
      </c>
      <c r="C101" s="11" t="str">
        <f>IF($A101="","",'03_年度学习计划'!$F101)</f>
        <v/>
      </c>
      <c r="D101" s="11" t="str">
        <f>IF($A101="","",'03_年度学习计划'!$G101)</f>
        <v/>
      </c>
      <c r="E101" s="11" t="str">
        <f>IF($A101="","",'03_年度学习计划'!$E101)</f>
        <v/>
      </c>
      <c r="F101" s="11" t="str">
        <f>IF($A101="","",'03_年度学习计划'!$L101)</f>
        <v/>
      </c>
      <c r="G101" s="12" t="str">
        <f>IF($A101="","",'03_年度学习计划'!$N101)</f>
        <v/>
      </c>
      <c r="H101" s="12" t="str">
        <f>IF($A101="","",'03_年度学习计划'!$O101)</f>
        <v/>
      </c>
      <c r="I101" s="12" t="str">
        <f>IF($A101="","",'03_年度学习计划'!$P101)</f>
        <v/>
      </c>
      <c r="J101" s="11" t="str">
        <f>IF($A101="","",'03_年度学习计划'!$Q101)</f>
        <v/>
      </c>
      <c r="K101" s="11" t="str">
        <f>IF($A101="","",'03_年度学习计划'!$S101)</f>
        <v/>
      </c>
      <c r="L101" s="13" t="str">
        <f t="shared" si="3"/>
        <v/>
      </c>
      <c r="M101" s="13"/>
      <c r="N101" s="13"/>
      <c r="O101" s="13"/>
      <c r="P101" s="14"/>
      <c r="Q101" s="14"/>
      <c r="R101" s="14"/>
      <c r="S101" s="14"/>
      <c r="T101" s="14"/>
    </row>
    <row r="102" spans="1:20" ht="13.9">
      <c r="A102" s="11" t="str">
        <f>IF('03_年度学习计划'!$A102="","",'03_年度学习计划'!$A102)</f>
        <v/>
      </c>
      <c r="B102" s="11" t="str">
        <f>IF($A102="","",'03_年度学习计划'!$D102)</f>
        <v/>
      </c>
      <c r="C102" s="11" t="str">
        <f>IF($A102="","",'03_年度学习计划'!$F102)</f>
        <v/>
      </c>
      <c r="D102" s="11" t="str">
        <f>IF($A102="","",'03_年度学习计划'!$G102)</f>
        <v/>
      </c>
      <c r="E102" s="11" t="str">
        <f>IF($A102="","",'03_年度学习计划'!$E102)</f>
        <v/>
      </c>
      <c r="F102" s="11" t="str">
        <f>IF($A102="","",'03_年度学习计划'!$L102)</f>
        <v/>
      </c>
      <c r="G102" s="12" t="str">
        <f>IF($A102="","",'03_年度学习计划'!$N102)</f>
        <v/>
      </c>
      <c r="H102" s="12" t="str">
        <f>IF($A102="","",'03_年度学习计划'!$O102)</f>
        <v/>
      </c>
      <c r="I102" s="12" t="str">
        <f>IF($A102="","",'03_年度学习计划'!$P102)</f>
        <v/>
      </c>
      <c r="J102" s="11" t="str">
        <f>IF($A102="","",'03_年度学习计划'!$Q102)</f>
        <v/>
      </c>
      <c r="K102" s="11" t="str">
        <f>IF($A102="","",'03_年度学习计划'!$S102)</f>
        <v/>
      </c>
      <c r="L102" s="13" t="str">
        <f t="shared" si="3"/>
        <v/>
      </c>
      <c r="M102" s="13"/>
      <c r="N102" s="13"/>
      <c r="O102" s="13"/>
      <c r="P102" s="14"/>
      <c r="Q102" s="14"/>
      <c r="R102" s="14"/>
      <c r="S102" s="14"/>
      <c r="T102" s="14"/>
    </row>
    <row r="103" spans="1:20" ht="13.9">
      <c r="A103" s="11" t="str">
        <f>IF('03_年度学习计划'!$A103="","",'03_年度学习计划'!$A103)</f>
        <v/>
      </c>
      <c r="B103" s="11" t="str">
        <f>IF($A103="","",'03_年度学习计划'!$D103)</f>
        <v/>
      </c>
      <c r="C103" s="11" t="str">
        <f>IF($A103="","",'03_年度学习计划'!$F103)</f>
        <v/>
      </c>
      <c r="D103" s="11" t="str">
        <f>IF($A103="","",'03_年度学习计划'!$G103)</f>
        <v/>
      </c>
      <c r="E103" s="11" t="str">
        <f>IF($A103="","",'03_年度学习计划'!$E103)</f>
        <v/>
      </c>
      <c r="F103" s="11" t="str">
        <f>IF($A103="","",'03_年度学习计划'!$L103)</f>
        <v/>
      </c>
      <c r="G103" s="12" t="str">
        <f>IF($A103="","",'03_年度学习计划'!$N103)</f>
        <v/>
      </c>
      <c r="H103" s="12" t="str">
        <f>IF($A103="","",'03_年度学习计划'!$O103)</f>
        <v/>
      </c>
      <c r="I103" s="12" t="str">
        <f>IF($A103="","",'03_年度学习计划'!$P103)</f>
        <v/>
      </c>
      <c r="J103" s="11" t="str">
        <f>IF($A103="","",'03_年度学习计划'!$Q103)</f>
        <v/>
      </c>
      <c r="K103" s="11" t="str">
        <f>IF($A103="","",'03_年度学习计划'!$S103)</f>
        <v/>
      </c>
      <c r="L103" s="13" t="str">
        <f t="shared" si="3"/>
        <v/>
      </c>
      <c r="M103" s="13"/>
      <c r="N103" s="13"/>
      <c r="O103" s="13"/>
      <c r="P103" s="14"/>
      <c r="Q103" s="14"/>
      <c r="R103" s="14"/>
      <c r="S103" s="14"/>
      <c r="T103" s="14"/>
    </row>
    <row r="104" spans="1:20" ht="13.9">
      <c r="A104" s="11" t="str">
        <f>IF('03_年度学习计划'!$A104="","",'03_年度学习计划'!$A104)</f>
        <v/>
      </c>
      <c r="B104" s="11" t="str">
        <f>IF($A104="","",'03_年度学习计划'!$D104)</f>
        <v/>
      </c>
      <c r="C104" s="11" t="str">
        <f>IF($A104="","",'03_年度学习计划'!$F104)</f>
        <v/>
      </c>
      <c r="D104" s="11" t="str">
        <f>IF($A104="","",'03_年度学习计划'!$G104)</f>
        <v/>
      </c>
      <c r="E104" s="11" t="str">
        <f>IF($A104="","",'03_年度学习计划'!$E104)</f>
        <v/>
      </c>
      <c r="F104" s="11" t="str">
        <f>IF($A104="","",'03_年度学习计划'!$L104)</f>
        <v/>
      </c>
      <c r="G104" s="12" t="str">
        <f>IF($A104="","",'03_年度学习计划'!$N104)</f>
        <v/>
      </c>
      <c r="H104" s="12" t="str">
        <f>IF($A104="","",'03_年度学习计划'!$O104)</f>
        <v/>
      </c>
      <c r="I104" s="12" t="str">
        <f>IF($A104="","",'03_年度学习计划'!$P104)</f>
        <v/>
      </c>
      <c r="J104" s="11" t="str">
        <f>IF($A104="","",'03_年度学习计划'!$Q104)</f>
        <v/>
      </c>
      <c r="K104" s="11" t="str">
        <f>IF($A104="","",'03_年度学习计划'!$S104)</f>
        <v/>
      </c>
      <c r="L104" s="13" t="str">
        <f t="shared" si="3"/>
        <v/>
      </c>
      <c r="M104" s="13"/>
      <c r="N104" s="13"/>
      <c r="O104" s="13"/>
      <c r="P104" s="14"/>
      <c r="Q104" s="14"/>
      <c r="R104" s="14"/>
      <c r="S104" s="14"/>
      <c r="T104" s="14"/>
    </row>
    <row r="105" spans="1:20" ht="13.9">
      <c r="A105" s="11" t="str">
        <f>IF('03_年度学习计划'!$A105="","",'03_年度学习计划'!$A105)</f>
        <v/>
      </c>
      <c r="B105" s="11" t="str">
        <f>IF($A105="","",'03_年度学习计划'!$D105)</f>
        <v/>
      </c>
      <c r="C105" s="11" t="str">
        <f>IF($A105="","",'03_年度学习计划'!$F105)</f>
        <v/>
      </c>
      <c r="D105" s="11" t="str">
        <f>IF($A105="","",'03_年度学习计划'!$G105)</f>
        <v/>
      </c>
      <c r="E105" s="11" t="str">
        <f>IF($A105="","",'03_年度学习计划'!$E105)</f>
        <v/>
      </c>
      <c r="F105" s="11" t="str">
        <f>IF($A105="","",'03_年度学习计划'!$L105)</f>
        <v/>
      </c>
      <c r="G105" s="12" t="str">
        <f>IF($A105="","",'03_年度学习计划'!$N105)</f>
        <v/>
      </c>
      <c r="H105" s="12" t="str">
        <f>IF($A105="","",'03_年度学习计划'!$O105)</f>
        <v/>
      </c>
      <c r="I105" s="12" t="str">
        <f>IF($A105="","",'03_年度学习计划'!$P105)</f>
        <v/>
      </c>
      <c r="J105" s="11" t="str">
        <f>IF($A105="","",'03_年度学习计划'!$Q105)</f>
        <v/>
      </c>
      <c r="K105" s="11" t="str">
        <f>IF($A105="","",'03_年度学习计划'!$S105)</f>
        <v/>
      </c>
      <c r="L105" s="13" t="str">
        <f t="shared" si="3"/>
        <v/>
      </c>
      <c r="M105" s="13"/>
      <c r="N105" s="13"/>
      <c r="O105" s="13"/>
      <c r="P105" s="14"/>
      <c r="Q105" s="14"/>
      <c r="R105" s="14"/>
      <c r="S105" s="14"/>
      <c r="T105" s="14"/>
    </row>
    <row r="106" spans="1:20" ht="13.9">
      <c r="A106" s="11" t="str">
        <f>IF('03_年度学习计划'!$A106="","",'03_年度学习计划'!$A106)</f>
        <v/>
      </c>
      <c r="B106" s="11" t="str">
        <f>IF($A106="","",'03_年度学习计划'!$D106)</f>
        <v/>
      </c>
      <c r="C106" s="11" t="str">
        <f>IF($A106="","",'03_年度学习计划'!$F106)</f>
        <v/>
      </c>
      <c r="D106" s="11" t="str">
        <f>IF($A106="","",'03_年度学习计划'!$G106)</f>
        <v/>
      </c>
      <c r="E106" s="11" t="str">
        <f>IF($A106="","",'03_年度学习计划'!$E106)</f>
        <v/>
      </c>
      <c r="F106" s="11" t="str">
        <f>IF($A106="","",'03_年度学习计划'!$L106)</f>
        <v/>
      </c>
      <c r="G106" s="12" t="str">
        <f>IF($A106="","",'03_年度学习计划'!$N106)</f>
        <v/>
      </c>
      <c r="H106" s="12" t="str">
        <f>IF($A106="","",'03_年度学习计划'!$O106)</f>
        <v/>
      </c>
      <c r="I106" s="12" t="str">
        <f>IF($A106="","",'03_年度学习计划'!$P106)</f>
        <v/>
      </c>
      <c r="J106" s="11" t="str">
        <f>IF($A106="","",'03_年度学习计划'!$Q106)</f>
        <v/>
      </c>
      <c r="K106" s="11" t="str">
        <f>IF($A106="","",'03_年度学习计划'!$S106)</f>
        <v/>
      </c>
      <c r="L106" s="13" t="str">
        <f t="shared" si="3"/>
        <v/>
      </c>
      <c r="M106" s="13"/>
      <c r="N106" s="13"/>
      <c r="O106" s="13"/>
      <c r="P106" s="14"/>
      <c r="Q106" s="14"/>
      <c r="R106" s="14"/>
      <c r="S106" s="14"/>
      <c r="T106" s="14"/>
    </row>
    <row r="107" spans="1:20" ht="13.9">
      <c r="A107" s="11" t="str">
        <f>IF('03_年度学习计划'!$A107="","",'03_年度学习计划'!$A107)</f>
        <v/>
      </c>
      <c r="B107" s="11" t="str">
        <f>IF($A107="","",'03_年度学习计划'!$D107)</f>
        <v/>
      </c>
      <c r="C107" s="11" t="str">
        <f>IF($A107="","",'03_年度学习计划'!$F107)</f>
        <v/>
      </c>
      <c r="D107" s="11" t="str">
        <f>IF($A107="","",'03_年度学习计划'!$G107)</f>
        <v/>
      </c>
      <c r="E107" s="11" t="str">
        <f>IF($A107="","",'03_年度学习计划'!$E107)</f>
        <v/>
      </c>
      <c r="F107" s="11" t="str">
        <f>IF($A107="","",'03_年度学习计划'!$L107)</f>
        <v/>
      </c>
      <c r="G107" s="12" t="str">
        <f>IF($A107="","",'03_年度学习计划'!$N107)</f>
        <v/>
      </c>
      <c r="H107" s="12" t="str">
        <f>IF($A107="","",'03_年度学习计划'!$O107)</f>
        <v/>
      </c>
      <c r="I107" s="12" t="str">
        <f>IF($A107="","",'03_年度学习计划'!$P107)</f>
        <v/>
      </c>
      <c r="J107" s="11" t="str">
        <f>IF($A107="","",'03_年度学习计划'!$Q107)</f>
        <v/>
      </c>
      <c r="K107" s="11" t="str">
        <f>IF($A107="","",'03_年度学习计划'!$S107)</f>
        <v/>
      </c>
      <c r="L107" s="13" t="str">
        <f t="shared" si="3"/>
        <v/>
      </c>
      <c r="M107" s="13"/>
      <c r="N107" s="13"/>
      <c r="O107" s="13"/>
      <c r="P107" s="14"/>
      <c r="Q107" s="14"/>
      <c r="R107" s="14"/>
      <c r="S107" s="14"/>
      <c r="T107" s="14"/>
    </row>
    <row r="108" spans="1:20" ht="13.9">
      <c r="A108" s="11" t="str">
        <f>IF('03_年度学习计划'!$A108="","",'03_年度学习计划'!$A108)</f>
        <v/>
      </c>
      <c r="B108" s="11" t="str">
        <f>IF($A108="","",'03_年度学习计划'!$D108)</f>
        <v/>
      </c>
      <c r="C108" s="11" t="str">
        <f>IF($A108="","",'03_年度学习计划'!$F108)</f>
        <v/>
      </c>
      <c r="D108" s="11" t="str">
        <f>IF($A108="","",'03_年度学习计划'!$G108)</f>
        <v/>
      </c>
      <c r="E108" s="11" t="str">
        <f>IF($A108="","",'03_年度学习计划'!$E108)</f>
        <v/>
      </c>
      <c r="F108" s="11" t="str">
        <f>IF($A108="","",'03_年度学习计划'!$L108)</f>
        <v/>
      </c>
      <c r="G108" s="12" t="str">
        <f>IF($A108="","",'03_年度学习计划'!$N108)</f>
        <v/>
      </c>
      <c r="H108" s="12" t="str">
        <f>IF($A108="","",'03_年度学习计划'!$O108)</f>
        <v/>
      </c>
      <c r="I108" s="12" t="str">
        <f>IF($A108="","",'03_年度学习计划'!$P108)</f>
        <v/>
      </c>
      <c r="J108" s="11" t="str">
        <f>IF($A108="","",'03_年度学习计划'!$Q108)</f>
        <v/>
      </c>
      <c r="K108" s="11" t="str">
        <f>IF($A108="","",'03_年度学习计划'!$S108)</f>
        <v/>
      </c>
      <c r="L108" s="13" t="str">
        <f t="shared" si="3"/>
        <v/>
      </c>
      <c r="M108" s="13"/>
      <c r="N108" s="13"/>
      <c r="O108" s="13"/>
      <c r="P108" s="14"/>
      <c r="Q108" s="14"/>
      <c r="R108" s="14"/>
      <c r="S108" s="14"/>
      <c r="T108" s="14"/>
    </row>
    <row r="109" spans="1:20" ht="13.9">
      <c r="A109" s="11" t="str">
        <f>IF('03_年度学习计划'!$A109="","",'03_年度学习计划'!$A109)</f>
        <v/>
      </c>
      <c r="B109" s="11" t="str">
        <f>IF($A109="","",'03_年度学习计划'!$D109)</f>
        <v/>
      </c>
      <c r="C109" s="11" t="str">
        <f>IF($A109="","",'03_年度学习计划'!$F109)</f>
        <v/>
      </c>
      <c r="D109" s="11" t="str">
        <f>IF($A109="","",'03_年度学习计划'!$G109)</f>
        <v/>
      </c>
      <c r="E109" s="11" t="str">
        <f>IF($A109="","",'03_年度学习计划'!$E109)</f>
        <v/>
      </c>
      <c r="F109" s="11" t="str">
        <f>IF($A109="","",'03_年度学习计划'!$L109)</f>
        <v/>
      </c>
      <c r="G109" s="12" t="str">
        <f>IF($A109="","",'03_年度学习计划'!$N109)</f>
        <v/>
      </c>
      <c r="H109" s="12" t="str">
        <f>IF($A109="","",'03_年度学习计划'!$O109)</f>
        <v/>
      </c>
      <c r="I109" s="12" t="str">
        <f>IF($A109="","",'03_年度学习计划'!$P109)</f>
        <v/>
      </c>
      <c r="J109" s="11" t="str">
        <f>IF($A109="","",'03_年度学习计划'!$Q109)</f>
        <v/>
      </c>
      <c r="K109" s="11" t="str">
        <f>IF($A109="","",'03_年度学习计划'!$S109)</f>
        <v/>
      </c>
      <c r="L109" s="13" t="str">
        <f t="shared" si="3"/>
        <v/>
      </c>
      <c r="M109" s="13"/>
      <c r="N109" s="13"/>
      <c r="O109" s="13"/>
      <c r="P109" s="14"/>
      <c r="Q109" s="14"/>
      <c r="R109" s="14"/>
      <c r="S109" s="14"/>
      <c r="T109" s="14"/>
    </row>
    <row r="110" spans="1:20" ht="13.9">
      <c r="A110" s="11" t="str">
        <f>IF('03_年度学习计划'!$A110="","",'03_年度学习计划'!$A110)</f>
        <v/>
      </c>
      <c r="B110" s="11" t="str">
        <f>IF($A110="","",'03_年度学习计划'!$D110)</f>
        <v/>
      </c>
      <c r="C110" s="11" t="str">
        <f>IF($A110="","",'03_年度学习计划'!$F110)</f>
        <v/>
      </c>
      <c r="D110" s="11" t="str">
        <f>IF($A110="","",'03_年度学习计划'!$G110)</f>
        <v/>
      </c>
      <c r="E110" s="11" t="str">
        <f>IF($A110="","",'03_年度学习计划'!$E110)</f>
        <v/>
      </c>
      <c r="F110" s="11" t="str">
        <f>IF($A110="","",'03_年度学习计划'!$L110)</f>
        <v/>
      </c>
      <c r="G110" s="12" t="str">
        <f>IF($A110="","",'03_年度学习计划'!$N110)</f>
        <v/>
      </c>
      <c r="H110" s="12" t="str">
        <f>IF($A110="","",'03_年度学习计划'!$O110)</f>
        <v/>
      </c>
      <c r="I110" s="12" t="str">
        <f>IF($A110="","",'03_年度学习计划'!$P110)</f>
        <v/>
      </c>
      <c r="J110" s="11" t="str">
        <f>IF($A110="","",'03_年度学习计划'!$Q110)</f>
        <v/>
      </c>
      <c r="K110" s="11" t="str">
        <f>IF($A110="","",'03_年度学习计划'!$S110)</f>
        <v/>
      </c>
      <c r="L110" s="13" t="str">
        <f t="shared" si="3"/>
        <v/>
      </c>
      <c r="M110" s="13"/>
      <c r="N110" s="13"/>
      <c r="O110" s="13"/>
      <c r="P110" s="14"/>
      <c r="Q110" s="14"/>
      <c r="R110" s="14"/>
      <c r="S110" s="14"/>
      <c r="T110" s="14"/>
    </row>
    <row r="111" spans="1:20" ht="13.9">
      <c r="A111" s="11" t="str">
        <f>IF('03_年度学习计划'!$A111="","",'03_年度学习计划'!$A111)</f>
        <v/>
      </c>
      <c r="B111" s="11" t="str">
        <f>IF($A111="","",'03_年度学习计划'!$D111)</f>
        <v/>
      </c>
      <c r="C111" s="11" t="str">
        <f>IF($A111="","",'03_年度学习计划'!$F111)</f>
        <v/>
      </c>
      <c r="D111" s="11" t="str">
        <f>IF($A111="","",'03_年度学习计划'!$G111)</f>
        <v/>
      </c>
      <c r="E111" s="11" t="str">
        <f>IF($A111="","",'03_年度学习计划'!$E111)</f>
        <v/>
      </c>
      <c r="F111" s="11" t="str">
        <f>IF($A111="","",'03_年度学习计划'!$L111)</f>
        <v/>
      </c>
      <c r="G111" s="12" t="str">
        <f>IF($A111="","",'03_年度学习计划'!$N111)</f>
        <v/>
      </c>
      <c r="H111" s="12" t="str">
        <f>IF($A111="","",'03_年度学习计划'!$O111)</f>
        <v/>
      </c>
      <c r="I111" s="12" t="str">
        <f>IF($A111="","",'03_年度学习计划'!$P111)</f>
        <v/>
      </c>
      <c r="J111" s="11" t="str">
        <f>IF($A111="","",'03_年度学习计划'!$Q111)</f>
        <v/>
      </c>
      <c r="K111" s="11" t="str">
        <f>IF($A111="","",'03_年度学习计划'!$S111)</f>
        <v/>
      </c>
      <c r="L111" s="13" t="str">
        <f t="shared" si="3"/>
        <v/>
      </c>
      <c r="M111" s="13"/>
      <c r="N111" s="13"/>
      <c r="O111" s="13"/>
      <c r="P111" s="14"/>
      <c r="Q111" s="14"/>
      <c r="R111" s="14"/>
      <c r="S111" s="14"/>
      <c r="T111" s="14"/>
    </row>
    <row r="112" spans="1:20" ht="13.9">
      <c r="A112" s="11" t="str">
        <f>IF('03_年度学习计划'!$A112="","",'03_年度学习计划'!$A112)</f>
        <v/>
      </c>
      <c r="B112" s="11" t="str">
        <f>IF($A112="","",'03_年度学习计划'!$D112)</f>
        <v/>
      </c>
      <c r="C112" s="11" t="str">
        <f>IF($A112="","",'03_年度学习计划'!$F112)</f>
        <v/>
      </c>
      <c r="D112" s="11" t="str">
        <f>IF($A112="","",'03_年度学习计划'!$G112)</f>
        <v/>
      </c>
      <c r="E112" s="11" t="str">
        <f>IF($A112="","",'03_年度学习计划'!$E112)</f>
        <v/>
      </c>
      <c r="F112" s="11" t="str">
        <f>IF($A112="","",'03_年度学习计划'!$L112)</f>
        <v/>
      </c>
      <c r="G112" s="12" t="str">
        <f>IF($A112="","",'03_年度学习计划'!$N112)</f>
        <v/>
      </c>
      <c r="H112" s="12" t="str">
        <f>IF($A112="","",'03_年度学习计划'!$O112)</f>
        <v/>
      </c>
      <c r="I112" s="12" t="str">
        <f>IF($A112="","",'03_年度学习计划'!$P112)</f>
        <v/>
      </c>
      <c r="J112" s="11" t="str">
        <f>IF($A112="","",'03_年度学习计划'!$Q112)</f>
        <v/>
      </c>
      <c r="K112" s="11" t="str">
        <f>IF($A112="","",'03_年度学习计划'!$S112)</f>
        <v/>
      </c>
      <c r="L112" s="13" t="str">
        <f t="shared" si="3"/>
        <v/>
      </c>
      <c r="M112" s="13"/>
      <c r="N112" s="13"/>
      <c r="O112" s="13"/>
      <c r="P112" s="14"/>
      <c r="Q112" s="14"/>
      <c r="R112" s="14"/>
      <c r="S112" s="14"/>
      <c r="T112" s="14"/>
    </row>
    <row r="113" spans="1:20" ht="13.9">
      <c r="A113" s="11" t="str">
        <f>IF('03_年度学习计划'!$A113="","",'03_年度学习计划'!$A113)</f>
        <v/>
      </c>
      <c r="B113" s="11" t="str">
        <f>IF($A113="","",'03_年度学习计划'!$D113)</f>
        <v/>
      </c>
      <c r="C113" s="11" t="str">
        <f>IF($A113="","",'03_年度学习计划'!$F113)</f>
        <v/>
      </c>
      <c r="D113" s="11" t="str">
        <f>IF($A113="","",'03_年度学习计划'!$G113)</f>
        <v/>
      </c>
      <c r="E113" s="11" t="str">
        <f>IF($A113="","",'03_年度学习计划'!$E113)</f>
        <v/>
      </c>
      <c r="F113" s="11" t="str">
        <f>IF($A113="","",'03_年度学习计划'!$L113)</f>
        <v/>
      </c>
      <c r="G113" s="12" t="str">
        <f>IF($A113="","",'03_年度学习计划'!$N113)</f>
        <v/>
      </c>
      <c r="H113" s="12" t="str">
        <f>IF($A113="","",'03_年度学习计划'!$O113)</f>
        <v/>
      </c>
      <c r="I113" s="12" t="str">
        <f>IF($A113="","",'03_年度学习计划'!$P113)</f>
        <v/>
      </c>
      <c r="J113" s="11" t="str">
        <f>IF($A113="","",'03_年度学习计划'!$Q113)</f>
        <v/>
      </c>
      <c r="K113" s="11" t="str">
        <f>IF($A113="","",'03_年度学习计划'!$S113)</f>
        <v/>
      </c>
      <c r="L113" s="13" t="str">
        <f t="shared" si="3"/>
        <v/>
      </c>
      <c r="M113" s="13"/>
      <c r="N113" s="13"/>
      <c r="O113" s="13"/>
      <c r="P113" s="14"/>
      <c r="Q113" s="14"/>
      <c r="R113" s="14"/>
      <c r="S113" s="14"/>
      <c r="T113" s="14"/>
    </row>
    <row r="114" spans="1:20" ht="13.9">
      <c r="A114" s="11" t="str">
        <f>IF('03_年度学习计划'!$A114="","",'03_年度学习计划'!$A114)</f>
        <v/>
      </c>
      <c r="B114" s="11" t="str">
        <f>IF($A114="","",'03_年度学习计划'!$D114)</f>
        <v/>
      </c>
      <c r="C114" s="11" t="str">
        <f>IF($A114="","",'03_年度学习计划'!$F114)</f>
        <v/>
      </c>
      <c r="D114" s="11" t="str">
        <f>IF($A114="","",'03_年度学习计划'!$G114)</f>
        <v/>
      </c>
      <c r="E114" s="11" t="str">
        <f>IF($A114="","",'03_年度学习计划'!$E114)</f>
        <v/>
      </c>
      <c r="F114" s="11" t="str">
        <f>IF($A114="","",'03_年度学习计划'!$L114)</f>
        <v/>
      </c>
      <c r="G114" s="12" t="str">
        <f>IF($A114="","",'03_年度学习计划'!$N114)</f>
        <v/>
      </c>
      <c r="H114" s="12" t="str">
        <f>IF($A114="","",'03_年度学习计划'!$O114)</f>
        <v/>
      </c>
      <c r="I114" s="12" t="str">
        <f>IF($A114="","",'03_年度学习计划'!$P114)</f>
        <v/>
      </c>
      <c r="J114" s="11" t="str">
        <f>IF($A114="","",'03_年度学习计划'!$Q114)</f>
        <v/>
      </c>
      <c r="K114" s="11" t="str">
        <f>IF($A114="","",'03_年度学习计划'!$S114)</f>
        <v/>
      </c>
      <c r="L114" s="13" t="str">
        <f t="shared" si="3"/>
        <v/>
      </c>
      <c r="M114" s="13"/>
      <c r="N114" s="13"/>
      <c r="O114" s="13"/>
      <c r="P114" s="14"/>
      <c r="Q114" s="14"/>
      <c r="R114" s="14"/>
      <c r="S114" s="14"/>
      <c r="T114" s="14"/>
    </row>
    <row r="115" spans="1:20" ht="13.9">
      <c r="A115" s="11" t="str">
        <f>IF('03_年度学习计划'!$A115="","",'03_年度学习计划'!$A115)</f>
        <v/>
      </c>
      <c r="B115" s="11" t="str">
        <f>IF($A115="","",'03_年度学习计划'!$D115)</f>
        <v/>
      </c>
      <c r="C115" s="11" t="str">
        <f>IF($A115="","",'03_年度学习计划'!$F115)</f>
        <v/>
      </c>
      <c r="D115" s="11" t="str">
        <f>IF($A115="","",'03_年度学习计划'!$G115)</f>
        <v/>
      </c>
      <c r="E115" s="11" t="str">
        <f>IF($A115="","",'03_年度学习计划'!$E115)</f>
        <v/>
      </c>
      <c r="F115" s="11" t="str">
        <f>IF($A115="","",'03_年度学习计划'!$L115)</f>
        <v/>
      </c>
      <c r="G115" s="12" t="str">
        <f>IF($A115="","",'03_年度学习计划'!$N115)</f>
        <v/>
      </c>
      <c r="H115" s="12" t="str">
        <f>IF($A115="","",'03_年度学习计划'!$O115)</f>
        <v/>
      </c>
      <c r="I115" s="12" t="str">
        <f>IF($A115="","",'03_年度学习计划'!$P115)</f>
        <v/>
      </c>
      <c r="J115" s="11" t="str">
        <f>IF($A115="","",'03_年度学习计划'!$Q115)</f>
        <v/>
      </c>
      <c r="K115" s="11" t="str">
        <f>IF($A115="","",'03_年度学习计划'!$S115)</f>
        <v/>
      </c>
      <c r="L115" s="13" t="str">
        <f t="shared" si="3"/>
        <v/>
      </c>
      <c r="M115" s="13"/>
      <c r="N115" s="13"/>
      <c r="O115" s="13"/>
      <c r="P115" s="14"/>
      <c r="Q115" s="14"/>
      <c r="R115" s="14"/>
      <c r="S115" s="14"/>
      <c r="T115" s="14"/>
    </row>
    <row r="116" spans="1:20" ht="13.9">
      <c r="A116" s="11" t="str">
        <f>IF('03_年度学习计划'!$A116="","",'03_年度学习计划'!$A116)</f>
        <v/>
      </c>
      <c r="B116" s="11" t="str">
        <f>IF($A116="","",'03_年度学习计划'!$D116)</f>
        <v/>
      </c>
      <c r="C116" s="11" t="str">
        <f>IF($A116="","",'03_年度学习计划'!$F116)</f>
        <v/>
      </c>
      <c r="D116" s="11" t="str">
        <f>IF($A116="","",'03_年度学习计划'!$G116)</f>
        <v/>
      </c>
      <c r="E116" s="11" t="str">
        <f>IF($A116="","",'03_年度学习计划'!$E116)</f>
        <v/>
      </c>
      <c r="F116" s="11" t="str">
        <f>IF($A116="","",'03_年度学习计划'!$L116)</f>
        <v/>
      </c>
      <c r="G116" s="12" t="str">
        <f>IF($A116="","",'03_年度学习计划'!$N116)</f>
        <v/>
      </c>
      <c r="H116" s="12" t="str">
        <f>IF($A116="","",'03_年度学习计划'!$O116)</f>
        <v/>
      </c>
      <c r="I116" s="12" t="str">
        <f>IF($A116="","",'03_年度学习计划'!$P116)</f>
        <v/>
      </c>
      <c r="J116" s="11" t="str">
        <f>IF($A116="","",'03_年度学习计划'!$Q116)</f>
        <v/>
      </c>
      <c r="K116" s="11" t="str">
        <f>IF($A116="","",'03_年度学习计划'!$S116)</f>
        <v/>
      </c>
      <c r="L116" s="13" t="str">
        <f t="shared" si="3"/>
        <v/>
      </c>
      <c r="M116" s="13"/>
      <c r="N116" s="13"/>
      <c r="O116" s="13"/>
      <c r="P116" s="14"/>
      <c r="Q116" s="14"/>
      <c r="R116" s="14"/>
      <c r="S116" s="14"/>
      <c r="T116" s="14"/>
    </row>
    <row r="117" spans="1:20" ht="13.9">
      <c r="A117" s="11" t="str">
        <f>IF('03_年度学习计划'!$A117="","",'03_年度学习计划'!$A117)</f>
        <v/>
      </c>
      <c r="B117" s="11" t="str">
        <f>IF($A117="","",'03_年度学习计划'!$D117)</f>
        <v/>
      </c>
      <c r="C117" s="11" t="str">
        <f>IF($A117="","",'03_年度学习计划'!$F117)</f>
        <v/>
      </c>
      <c r="D117" s="11" t="str">
        <f>IF($A117="","",'03_年度学习计划'!$G117)</f>
        <v/>
      </c>
      <c r="E117" s="11" t="str">
        <f>IF($A117="","",'03_年度学习计划'!$E117)</f>
        <v/>
      </c>
      <c r="F117" s="11" t="str">
        <f>IF($A117="","",'03_年度学习计划'!$L117)</f>
        <v/>
      </c>
      <c r="G117" s="12" t="str">
        <f>IF($A117="","",'03_年度学习计划'!$N117)</f>
        <v/>
      </c>
      <c r="H117" s="12" t="str">
        <f>IF($A117="","",'03_年度学习计划'!$O117)</f>
        <v/>
      </c>
      <c r="I117" s="12" t="str">
        <f>IF($A117="","",'03_年度学习计划'!$P117)</f>
        <v/>
      </c>
      <c r="J117" s="11" t="str">
        <f>IF($A117="","",'03_年度学习计划'!$Q117)</f>
        <v/>
      </c>
      <c r="K117" s="11" t="str">
        <f>IF($A117="","",'03_年度学习计划'!$S117)</f>
        <v/>
      </c>
      <c r="L117" s="13" t="str">
        <f t="shared" si="3"/>
        <v/>
      </c>
      <c r="M117" s="13"/>
      <c r="N117" s="13"/>
      <c r="O117" s="13"/>
      <c r="P117" s="14"/>
      <c r="Q117" s="14"/>
      <c r="R117" s="14"/>
      <c r="S117" s="14"/>
      <c r="T117" s="14"/>
    </row>
    <row r="118" spans="1:20" ht="13.9">
      <c r="A118" s="11" t="str">
        <f>IF('03_年度学习计划'!$A118="","",'03_年度学习计划'!$A118)</f>
        <v/>
      </c>
      <c r="B118" s="11" t="str">
        <f>IF($A118="","",'03_年度学习计划'!$D118)</f>
        <v/>
      </c>
      <c r="C118" s="11" t="str">
        <f>IF($A118="","",'03_年度学习计划'!$F118)</f>
        <v/>
      </c>
      <c r="D118" s="11" t="str">
        <f>IF($A118="","",'03_年度学习计划'!$G118)</f>
        <v/>
      </c>
      <c r="E118" s="11" t="str">
        <f>IF($A118="","",'03_年度学习计划'!$E118)</f>
        <v/>
      </c>
      <c r="F118" s="11" t="str">
        <f>IF($A118="","",'03_年度学习计划'!$L118)</f>
        <v/>
      </c>
      <c r="G118" s="12" t="str">
        <f>IF($A118="","",'03_年度学习计划'!$N118)</f>
        <v/>
      </c>
      <c r="H118" s="12" t="str">
        <f>IF($A118="","",'03_年度学习计划'!$O118)</f>
        <v/>
      </c>
      <c r="I118" s="12" t="str">
        <f>IF($A118="","",'03_年度学习计划'!$P118)</f>
        <v/>
      </c>
      <c r="J118" s="11" t="str">
        <f>IF($A118="","",'03_年度学习计划'!$Q118)</f>
        <v/>
      </c>
      <c r="K118" s="11" t="str">
        <f>IF($A118="","",'03_年度学习计划'!$S118)</f>
        <v/>
      </c>
      <c r="L118" s="13" t="str">
        <f t="shared" si="3"/>
        <v/>
      </c>
      <c r="M118" s="13"/>
      <c r="N118" s="13"/>
      <c r="O118" s="13"/>
      <c r="P118" s="14"/>
      <c r="Q118" s="14"/>
      <c r="R118" s="14"/>
      <c r="S118" s="14"/>
      <c r="T118" s="14"/>
    </row>
    <row r="119" spans="1:20" ht="13.9">
      <c r="A119" s="11" t="str">
        <f>IF('03_年度学习计划'!$A119="","",'03_年度学习计划'!$A119)</f>
        <v/>
      </c>
      <c r="B119" s="11" t="str">
        <f>IF($A119="","",'03_年度学习计划'!$D119)</f>
        <v/>
      </c>
      <c r="C119" s="11" t="str">
        <f>IF($A119="","",'03_年度学习计划'!$F119)</f>
        <v/>
      </c>
      <c r="D119" s="11" t="str">
        <f>IF($A119="","",'03_年度学习计划'!$G119)</f>
        <v/>
      </c>
      <c r="E119" s="11" t="str">
        <f>IF($A119="","",'03_年度学习计划'!$E119)</f>
        <v/>
      </c>
      <c r="F119" s="11" t="str">
        <f>IF($A119="","",'03_年度学习计划'!$L119)</f>
        <v/>
      </c>
      <c r="G119" s="12" t="str">
        <f>IF($A119="","",'03_年度学习计划'!$N119)</f>
        <v/>
      </c>
      <c r="H119" s="12" t="str">
        <f>IF($A119="","",'03_年度学习计划'!$O119)</f>
        <v/>
      </c>
      <c r="I119" s="12" t="str">
        <f>IF($A119="","",'03_年度学习计划'!$P119)</f>
        <v/>
      </c>
      <c r="J119" s="11" t="str">
        <f>IF($A119="","",'03_年度学习计划'!$Q119)</f>
        <v/>
      </c>
      <c r="K119" s="11" t="str">
        <f>IF($A119="","",'03_年度学习计划'!$S119)</f>
        <v/>
      </c>
      <c r="L119" s="13" t="str">
        <f t="shared" si="3"/>
        <v/>
      </c>
      <c r="M119" s="13"/>
      <c r="N119" s="13"/>
      <c r="O119" s="13"/>
      <c r="P119" s="14"/>
      <c r="Q119" s="14"/>
      <c r="R119" s="14"/>
      <c r="S119" s="14"/>
      <c r="T119" s="14"/>
    </row>
    <row r="120" spans="1:20" ht="13.9">
      <c r="A120" s="11" t="str">
        <f>IF('03_年度学习计划'!$A120="","",'03_年度学习计划'!$A120)</f>
        <v/>
      </c>
      <c r="B120" s="11" t="str">
        <f>IF($A120="","",'03_年度学习计划'!$D120)</f>
        <v/>
      </c>
      <c r="C120" s="11" t="str">
        <f>IF($A120="","",'03_年度学习计划'!$F120)</f>
        <v/>
      </c>
      <c r="D120" s="11" t="str">
        <f>IF($A120="","",'03_年度学习计划'!$G120)</f>
        <v/>
      </c>
      <c r="E120" s="11" t="str">
        <f>IF($A120="","",'03_年度学习计划'!$E120)</f>
        <v/>
      </c>
      <c r="F120" s="11" t="str">
        <f>IF($A120="","",'03_年度学习计划'!$L120)</f>
        <v/>
      </c>
      <c r="G120" s="12" t="str">
        <f>IF($A120="","",'03_年度学习计划'!$N120)</f>
        <v/>
      </c>
      <c r="H120" s="12" t="str">
        <f>IF($A120="","",'03_年度学习计划'!$O120)</f>
        <v/>
      </c>
      <c r="I120" s="12" t="str">
        <f>IF($A120="","",'03_年度学习计划'!$P120)</f>
        <v/>
      </c>
      <c r="J120" s="11" t="str">
        <f>IF($A120="","",'03_年度学习计划'!$Q120)</f>
        <v/>
      </c>
      <c r="K120" s="11" t="str">
        <f>IF($A120="","",'03_年度学习计划'!$S120)</f>
        <v/>
      </c>
      <c r="L120" s="13" t="str">
        <f t="shared" si="3"/>
        <v/>
      </c>
      <c r="M120" s="13"/>
      <c r="N120" s="13"/>
      <c r="O120" s="13"/>
      <c r="P120" s="14"/>
      <c r="Q120" s="14"/>
      <c r="R120" s="14"/>
      <c r="S120" s="14"/>
      <c r="T120" s="14"/>
    </row>
    <row r="121" spans="1:20" ht="13.9">
      <c r="A121" s="11" t="str">
        <f>IF('03_年度学习计划'!$A121="","",'03_年度学习计划'!$A121)</f>
        <v/>
      </c>
      <c r="B121" s="11" t="str">
        <f>IF($A121="","",'03_年度学习计划'!$D121)</f>
        <v/>
      </c>
      <c r="C121" s="11" t="str">
        <f>IF($A121="","",'03_年度学习计划'!$F121)</f>
        <v/>
      </c>
      <c r="D121" s="11" t="str">
        <f>IF($A121="","",'03_年度学习计划'!$G121)</f>
        <v/>
      </c>
      <c r="E121" s="11" t="str">
        <f>IF($A121="","",'03_年度学习计划'!$E121)</f>
        <v/>
      </c>
      <c r="F121" s="11" t="str">
        <f>IF($A121="","",'03_年度学习计划'!$L121)</f>
        <v/>
      </c>
      <c r="G121" s="12" t="str">
        <f>IF($A121="","",'03_年度学习计划'!$N121)</f>
        <v/>
      </c>
      <c r="H121" s="12" t="str">
        <f>IF($A121="","",'03_年度学习计划'!$O121)</f>
        <v/>
      </c>
      <c r="I121" s="12" t="str">
        <f>IF($A121="","",'03_年度学习计划'!$P121)</f>
        <v/>
      </c>
      <c r="J121" s="11" t="str">
        <f>IF($A121="","",'03_年度学习计划'!$Q121)</f>
        <v/>
      </c>
      <c r="K121" s="11" t="str">
        <f>IF($A121="","",'03_年度学习计划'!$S121)</f>
        <v/>
      </c>
      <c r="L121" s="13" t="str">
        <f t="shared" si="3"/>
        <v/>
      </c>
      <c r="M121" s="13"/>
      <c r="N121" s="13"/>
      <c r="O121" s="13"/>
      <c r="P121" s="14"/>
      <c r="Q121" s="14"/>
      <c r="R121" s="14"/>
      <c r="S121" s="14"/>
      <c r="T121" s="14"/>
    </row>
    <row r="122" spans="1:20" ht="13.9">
      <c r="A122" s="11" t="str">
        <f>IF('03_年度学习计划'!$A122="","",'03_年度学习计划'!$A122)</f>
        <v/>
      </c>
      <c r="B122" s="11" t="str">
        <f>IF($A122="","",'03_年度学习计划'!$D122)</f>
        <v/>
      </c>
      <c r="C122" s="11" t="str">
        <f>IF($A122="","",'03_年度学习计划'!$F122)</f>
        <v/>
      </c>
      <c r="D122" s="11" t="str">
        <f>IF($A122="","",'03_年度学习计划'!$G122)</f>
        <v/>
      </c>
      <c r="E122" s="11" t="str">
        <f>IF($A122="","",'03_年度学习计划'!$E122)</f>
        <v/>
      </c>
      <c r="F122" s="11" t="str">
        <f>IF($A122="","",'03_年度学习计划'!$L122)</f>
        <v/>
      </c>
      <c r="G122" s="12" t="str">
        <f>IF($A122="","",'03_年度学习计划'!$N122)</f>
        <v/>
      </c>
      <c r="H122" s="12" t="str">
        <f>IF($A122="","",'03_年度学习计划'!$O122)</f>
        <v/>
      </c>
      <c r="I122" s="12" t="str">
        <f>IF($A122="","",'03_年度学习计划'!$P122)</f>
        <v/>
      </c>
      <c r="J122" s="11" t="str">
        <f>IF($A122="","",'03_年度学习计划'!$Q122)</f>
        <v/>
      </c>
      <c r="K122" s="11" t="str">
        <f>IF($A122="","",'03_年度学习计划'!$S122)</f>
        <v/>
      </c>
      <c r="L122" s="13" t="str">
        <f t="shared" si="3"/>
        <v/>
      </c>
      <c r="M122" s="13"/>
      <c r="N122" s="13"/>
      <c r="O122" s="13"/>
      <c r="P122" s="14"/>
      <c r="Q122" s="14"/>
      <c r="R122" s="14"/>
      <c r="S122" s="14"/>
      <c r="T122" s="14"/>
    </row>
    <row r="123" spans="1:20" ht="13.9">
      <c r="A123" s="11" t="str">
        <f>IF('03_年度学习计划'!$A123="","",'03_年度学习计划'!$A123)</f>
        <v/>
      </c>
      <c r="B123" s="11" t="str">
        <f>IF($A123="","",'03_年度学习计划'!$D123)</f>
        <v/>
      </c>
      <c r="C123" s="11" t="str">
        <f>IF($A123="","",'03_年度学习计划'!$F123)</f>
        <v/>
      </c>
      <c r="D123" s="11" t="str">
        <f>IF($A123="","",'03_年度学习计划'!$G123)</f>
        <v/>
      </c>
      <c r="E123" s="11" t="str">
        <f>IF($A123="","",'03_年度学习计划'!$E123)</f>
        <v/>
      </c>
      <c r="F123" s="11" t="str">
        <f>IF($A123="","",'03_年度学习计划'!$L123)</f>
        <v/>
      </c>
      <c r="G123" s="12" t="str">
        <f>IF($A123="","",'03_年度学习计划'!$N123)</f>
        <v/>
      </c>
      <c r="H123" s="12" t="str">
        <f>IF($A123="","",'03_年度学习计划'!$O123)</f>
        <v/>
      </c>
      <c r="I123" s="12" t="str">
        <f>IF($A123="","",'03_年度学习计划'!$P123)</f>
        <v/>
      </c>
      <c r="J123" s="11" t="str">
        <f>IF($A123="","",'03_年度学习计划'!$Q123)</f>
        <v/>
      </c>
      <c r="K123" s="11" t="str">
        <f>IF($A123="","",'03_年度学习计划'!$S123)</f>
        <v/>
      </c>
      <c r="L123" s="13" t="str">
        <f t="shared" si="3"/>
        <v/>
      </c>
      <c r="M123" s="13"/>
      <c r="N123" s="13"/>
      <c r="O123" s="13"/>
      <c r="P123" s="14"/>
      <c r="Q123" s="14"/>
      <c r="R123" s="14"/>
      <c r="S123" s="14"/>
      <c r="T123" s="14"/>
    </row>
    <row r="124" spans="1:20" ht="13.9">
      <c r="A124" s="11" t="str">
        <f>IF('03_年度学习计划'!$A124="","",'03_年度学习计划'!$A124)</f>
        <v/>
      </c>
      <c r="B124" s="11" t="str">
        <f>IF($A124="","",'03_年度学习计划'!$D124)</f>
        <v/>
      </c>
      <c r="C124" s="11" t="str">
        <f>IF($A124="","",'03_年度学习计划'!$F124)</f>
        <v/>
      </c>
      <c r="D124" s="11" t="str">
        <f>IF($A124="","",'03_年度学习计划'!$G124)</f>
        <v/>
      </c>
      <c r="E124" s="11" t="str">
        <f>IF($A124="","",'03_年度学习计划'!$E124)</f>
        <v/>
      </c>
      <c r="F124" s="11" t="str">
        <f>IF($A124="","",'03_年度学习计划'!$L124)</f>
        <v/>
      </c>
      <c r="G124" s="12" t="str">
        <f>IF($A124="","",'03_年度学习计划'!$N124)</f>
        <v/>
      </c>
      <c r="H124" s="12" t="str">
        <f>IF($A124="","",'03_年度学习计划'!$O124)</f>
        <v/>
      </c>
      <c r="I124" s="12" t="str">
        <f>IF($A124="","",'03_年度学习计划'!$P124)</f>
        <v/>
      </c>
      <c r="J124" s="11" t="str">
        <f>IF($A124="","",'03_年度学习计划'!$Q124)</f>
        <v/>
      </c>
      <c r="K124" s="11" t="str">
        <f>IF($A124="","",'03_年度学习计划'!$S124)</f>
        <v/>
      </c>
      <c r="L124" s="13" t="str">
        <f t="shared" si="3"/>
        <v/>
      </c>
      <c r="M124" s="13"/>
      <c r="N124" s="13"/>
      <c r="O124" s="13"/>
      <c r="P124" s="14"/>
      <c r="Q124" s="14"/>
      <c r="R124" s="14"/>
      <c r="S124" s="14"/>
      <c r="T124" s="14"/>
    </row>
    <row r="125" spans="1:20" ht="13.9">
      <c r="A125" s="11" t="str">
        <f>IF('03_年度学习计划'!$A125="","",'03_年度学习计划'!$A125)</f>
        <v/>
      </c>
      <c r="B125" s="11" t="str">
        <f>IF($A125="","",'03_年度学习计划'!$D125)</f>
        <v/>
      </c>
      <c r="C125" s="11" t="str">
        <f>IF($A125="","",'03_年度学习计划'!$F125)</f>
        <v/>
      </c>
      <c r="D125" s="11" t="str">
        <f>IF($A125="","",'03_年度学习计划'!$G125)</f>
        <v/>
      </c>
      <c r="E125" s="11" t="str">
        <f>IF($A125="","",'03_年度学习计划'!$E125)</f>
        <v/>
      </c>
      <c r="F125" s="11" t="str">
        <f>IF($A125="","",'03_年度学习计划'!$L125)</f>
        <v/>
      </c>
      <c r="G125" s="12" t="str">
        <f>IF($A125="","",'03_年度学习计划'!$N125)</f>
        <v/>
      </c>
      <c r="H125" s="12" t="str">
        <f>IF($A125="","",'03_年度学习计划'!$O125)</f>
        <v/>
      </c>
      <c r="I125" s="12" t="str">
        <f>IF($A125="","",'03_年度学习计划'!$P125)</f>
        <v/>
      </c>
      <c r="J125" s="11" t="str">
        <f>IF($A125="","",'03_年度学习计划'!$Q125)</f>
        <v/>
      </c>
      <c r="K125" s="11" t="str">
        <f>IF($A125="","",'03_年度学习计划'!$S125)</f>
        <v/>
      </c>
      <c r="L125" s="13" t="str">
        <f t="shared" si="3"/>
        <v/>
      </c>
      <c r="M125" s="13"/>
      <c r="N125" s="13"/>
      <c r="O125" s="13"/>
      <c r="P125" s="14"/>
      <c r="Q125" s="14"/>
      <c r="R125" s="14"/>
      <c r="S125" s="14"/>
      <c r="T125" s="14"/>
    </row>
    <row r="126" spans="1:20" ht="13.9">
      <c r="A126" s="11" t="str">
        <f>IF('03_年度学习计划'!$A126="","",'03_年度学习计划'!$A126)</f>
        <v/>
      </c>
      <c r="B126" s="11" t="str">
        <f>IF($A126="","",'03_年度学习计划'!$D126)</f>
        <v/>
      </c>
      <c r="C126" s="11" t="str">
        <f>IF($A126="","",'03_年度学习计划'!$F126)</f>
        <v/>
      </c>
      <c r="D126" s="11" t="str">
        <f>IF($A126="","",'03_年度学习计划'!$G126)</f>
        <v/>
      </c>
      <c r="E126" s="11" t="str">
        <f>IF($A126="","",'03_年度学习计划'!$E126)</f>
        <v/>
      </c>
      <c r="F126" s="11" t="str">
        <f>IF($A126="","",'03_年度学习计划'!$L126)</f>
        <v/>
      </c>
      <c r="G126" s="12" t="str">
        <f>IF($A126="","",'03_年度学习计划'!$N126)</f>
        <v/>
      </c>
      <c r="H126" s="12" t="str">
        <f>IF($A126="","",'03_年度学习计划'!$O126)</f>
        <v/>
      </c>
      <c r="I126" s="12" t="str">
        <f>IF($A126="","",'03_年度学习计划'!$P126)</f>
        <v/>
      </c>
      <c r="J126" s="11" t="str">
        <f>IF($A126="","",'03_年度学习计划'!$Q126)</f>
        <v/>
      </c>
      <c r="K126" s="11" t="str">
        <f>IF($A126="","",'03_年度学习计划'!$S126)</f>
        <v/>
      </c>
      <c r="L126" s="13" t="str">
        <f t="shared" si="3"/>
        <v/>
      </c>
      <c r="M126" s="13"/>
      <c r="N126" s="13"/>
      <c r="O126" s="13"/>
      <c r="P126" s="14"/>
      <c r="Q126" s="14"/>
      <c r="R126" s="14"/>
      <c r="S126" s="14"/>
      <c r="T126" s="14"/>
    </row>
    <row r="127" spans="1:20" ht="13.9">
      <c r="A127" s="11" t="str">
        <f>IF('03_年度学习计划'!$A127="","",'03_年度学习计划'!$A127)</f>
        <v/>
      </c>
      <c r="B127" s="11" t="str">
        <f>IF($A127="","",'03_年度学习计划'!$D127)</f>
        <v/>
      </c>
      <c r="C127" s="11" t="str">
        <f>IF($A127="","",'03_年度学习计划'!$F127)</f>
        <v/>
      </c>
      <c r="D127" s="11" t="str">
        <f>IF($A127="","",'03_年度学习计划'!$G127)</f>
        <v/>
      </c>
      <c r="E127" s="11" t="str">
        <f>IF($A127="","",'03_年度学习计划'!$E127)</f>
        <v/>
      </c>
      <c r="F127" s="11" t="str">
        <f>IF($A127="","",'03_年度学习计划'!$L127)</f>
        <v/>
      </c>
      <c r="G127" s="12" t="str">
        <f>IF($A127="","",'03_年度学习计划'!$N127)</f>
        <v/>
      </c>
      <c r="H127" s="12" t="str">
        <f>IF($A127="","",'03_年度学习计划'!$O127)</f>
        <v/>
      </c>
      <c r="I127" s="12" t="str">
        <f>IF($A127="","",'03_年度学习计划'!$P127)</f>
        <v/>
      </c>
      <c r="J127" s="11" t="str">
        <f>IF($A127="","",'03_年度学习计划'!$Q127)</f>
        <v/>
      </c>
      <c r="K127" s="11" t="str">
        <f>IF($A127="","",'03_年度学习计划'!$S127)</f>
        <v/>
      </c>
      <c r="L127" s="13" t="str">
        <f t="shared" si="3"/>
        <v/>
      </c>
      <c r="M127" s="13"/>
      <c r="N127" s="13"/>
      <c r="O127" s="13"/>
      <c r="P127" s="14"/>
      <c r="Q127" s="14"/>
      <c r="R127" s="14"/>
      <c r="S127" s="14"/>
      <c r="T127" s="14"/>
    </row>
    <row r="128" spans="1:20" ht="13.9">
      <c r="A128" s="11" t="str">
        <f>IF('03_年度学习计划'!$A128="","",'03_年度学习计划'!$A128)</f>
        <v/>
      </c>
      <c r="B128" s="11" t="str">
        <f>IF($A128="","",'03_年度学习计划'!$D128)</f>
        <v/>
      </c>
      <c r="C128" s="11" t="str">
        <f>IF($A128="","",'03_年度学习计划'!$F128)</f>
        <v/>
      </c>
      <c r="D128" s="11" t="str">
        <f>IF($A128="","",'03_年度学习计划'!$G128)</f>
        <v/>
      </c>
      <c r="E128" s="11" t="str">
        <f>IF($A128="","",'03_年度学习计划'!$E128)</f>
        <v/>
      </c>
      <c r="F128" s="11" t="str">
        <f>IF($A128="","",'03_年度学习计划'!$L128)</f>
        <v/>
      </c>
      <c r="G128" s="12" t="str">
        <f>IF($A128="","",'03_年度学习计划'!$N128)</f>
        <v/>
      </c>
      <c r="H128" s="12" t="str">
        <f>IF($A128="","",'03_年度学习计划'!$O128)</f>
        <v/>
      </c>
      <c r="I128" s="12" t="str">
        <f>IF($A128="","",'03_年度学习计划'!$P128)</f>
        <v/>
      </c>
      <c r="J128" s="11" t="str">
        <f>IF($A128="","",'03_年度学习计划'!$Q128)</f>
        <v/>
      </c>
      <c r="K128" s="11" t="str">
        <f>IF($A128="","",'03_年度学习计划'!$S128)</f>
        <v/>
      </c>
      <c r="L128" s="13" t="str">
        <f t="shared" si="3"/>
        <v/>
      </c>
      <c r="M128" s="13"/>
      <c r="N128" s="13"/>
      <c r="O128" s="13"/>
      <c r="P128" s="14"/>
      <c r="Q128" s="14"/>
      <c r="R128" s="14"/>
      <c r="S128" s="14"/>
      <c r="T128" s="14"/>
    </row>
    <row r="129" spans="1:20" ht="13.9">
      <c r="A129" s="11" t="str">
        <f>IF('03_年度学习计划'!$A129="","",'03_年度学习计划'!$A129)</f>
        <v/>
      </c>
      <c r="B129" s="11" t="str">
        <f>IF($A129="","",'03_年度学习计划'!$D129)</f>
        <v/>
      </c>
      <c r="C129" s="11" t="str">
        <f>IF($A129="","",'03_年度学习计划'!$F129)</f>
        <v/>
      </c>
      <c r="D129" s="11" t="str">
        <f>IF($A129="","",'03_年度学习计划'!$G129)</f>
        <v/>
      </c>
      <c r="E129" s="11" t="str">
        <f>IF($A129="","",'03_年度学习计划'!$E129)</f>
        <v/>
      </c>
      <c r="F129" s="11" t="str">
        <f>IF($A129="","",'03_年度学习计划'!$L129)</f>
        <v/>
      </c>
      <c r="G129" s="12" t="str">
        <f>IF($A129="","",'03_年度学习计划'!$N129)</f>
        <v/>
      </c>
      <c r="H129" s="12" t="str">
        <f>IF($A129="","",'03_年度学习计划'!$O129)</f>
        <v/>
      </c>
      <c r="I129" s="12" t="str">
        <f>IF($A129="","",'03_年度学习计划'!$P129)</f>
        <v/>
      </c>
      <c r="J129" s="11" t="str">
        <f>IF($A129="","",'03_年度学习计划'!$Q129)</f>
        <v/>
      </c>
      <c r="K129" s="11" t="str">
        <f>IF($A129="","",'03_年度学习计划'!$S129)</f>
        <v/>
      </c>
      <c r="L129" s="13" t="str">
        <f t="shared" si="3"/>
        <v/>
      </c>
      <c r="M129" s="13"/>
      <c r="N129" s="13"/>
      <c r="O129" s="13"/>
      <c r="P129" s="14"/>
      <c r="Q129" s="14"/>
      <c r="R129" s="14"/>
      <c r="S129" s="14"/>
      <c r="T129" s="14"/>
    </row>
    <row r="130" spans="1:20" ht="13.9">
      <c r="A130" s="11" t="str">
        <f>IF('03_年度学习计划'!$A130="","",'03_年度学习计划'!$A130)</f>
        <v/>
      </c>
      <c r="B130" s="11" t="str">
        <f>IF($A130="","",'03_年度学习计划'!$D130)</f>
        <v/>
      </c>
      <c r="C130" s="11" t="str">
        <f>IF($A130="","",'03_年度学习计划'!$F130)</f>
        <v/>
      </c>
      <c r="D130" s="11" t="str">
        <f>IF($A130="","",'03_年度学习计划'!$G130)</f>
        <v/>
      </c>
      <c r="E130" s="11" t="str">
        <f>IF($A130="","",'03_年度学习计划'!$E130)</f>
        <v/>
      </c>
      <c r="F130" s="11" t="str">
        <f>IF($A130="","",'03_年度学习计划'!$L130)</f>
        <v/>
      </c>
      <c r="G130" s="12" t="str">
        <f>IF($A130="","",'03_年度学习计划'!$N130)</f>
        <v/>
      </c>
      <c r="H130" s="12" t="str">
        <f>IF($A130="","",'03_年度学习计划'!$O130)</f>
        <v/>
      </c>
      <c r="I130" s="12" t="str">
        <f>IF($A130="","",'03_年度学习计划'!$P130)</f>
        <v/>
      </c>
      <c r="J130" s="11" t="str">
        <f>IF($A130="","",'03_年度学习计划'!$Q130)</f>
        <v/>
      </c>
      <c r="K130" s="11" t="str">
        <f>IF($A130="","",'03_年度学习计划'!$S130)</f>
        <v/>
      </c>
      <c r="L130" s="13" t="str">
        <f t="shared" ref="L130:L161" si="4">IF($A130="","","未开始")</f>
        <v/>
      </c>
      <c r="M130" s="13"/>
      <c r="N130" s="13"/>
      <c r="O130" s="13"/>
      <c r="P130" s="14"/>
      <c r="Q130" s="14"/>
      <c r="R130" s="14"/>
      <c r="S130" s="14"/>
      <c r="T130" s="14"/>
    </row>
    <row r="131" spans="1:20" ht="13.9">
      <c r="A131" s="11" t="str">
        <f>IF('03_年度学习计划'!$A131="","",'03_年度学习计划'!$A131)</f>
        <v/>
      </c>
      <c r="B131" s="11" t="str">
        <f>IF($A131="","",'03_年度学习计划'!$D131)</f>
        <v/>
      </c>
      <c r="C131" s="11" t="str">
        <f>IF($A131="","",'03_年度学习计划'!$F131)</f>
        <v/>
      </c>
      <c r="D131" s="11" t="str">
        <f>IF($A131="","",'03_年度学习计划'!$G131)</f>
        <v/>
      </c>
      <c r="E131" s="11" t="str">
        <f>IF($A131="","",'03_年度学习计划'!$E131)</f>
        <v/>
      </c>
      <c r="F131" s="11" t="str">
        <f>IF($A131="","",'03_年度学习计划'!$L131)</f>
        <v/>
      </c>
      <c r="G131" s="12" t="str">
        <f>IF($A131="","",'03_年度学习计划'!$N131)</f>
        <v/>
      </c>
      <c r="H131" s="12" t="str">
        <f>IF($A131="","",'03_年度学习计划'!$O131)</f>
        <v/>
      </c>
      <c r="I131" s="12" t="str">
        <f>IF($A131="","",'03_年度学习计划'!$P131)</f>
        <v/>
      </c>
      <c r="J131" s="11" t="str">
        <f>IF($A131="","",'03_年度学习计划'!$Q131)</f>
        <v/>
      </c>
      <c r="K131" s="11" t="str">
        <f>IF($A131="","",'03_年度学习计划'!$S131)</f>
        <v/>
      </c>
      <c r="L131" s="13" t="str">
        <f t="shared" si="4"/>
        <v/>
      </c>
      <c r="M131" s="13"/>
      <c r="N131" s="13"/>
      <c r="O131" s="13"/>
      <c r="P131" s="14"/>
      <c r="Q131" s="14"/>
      <c r="R131" s="14"/>
      <c r="S131" s="14"/>
      <c r="T131" s="14"/>
    </row>
    <row r="132" spans="1:20" ht="13.9">
      <c r="A132" s="11" t="str">
        <f>IF('03_年度学习计划'!$A132="","",'03_年度学习计划'!$A132)</f>
        <v/>
      </c>
      <c r="B132" s="11" t="str">
        <f>IF($A132="","",'03_年度学习计划'!$D132)</f>
        <v/>
      </c>
      <c r="C132" s="11" t="str">
        <f>IF($A132="","",'03_年度学习计划'!$F132)</f>
        <v/>
      </c>
      <c r="D132" s="11" t="str">
        <f>IF($A132="","",'03_年度学习计划'!$G132)</f>
        <v/>
      </c>
      <c r="E132" s="11" t="str">
        <f>IF($A132="","",'03_年度学习计划'!$E132)</f>
        <v/>
      </c>
      <c r="F132" s="11" t="str">
        <f>IF($A132="","",'03_年度学习计划'!$L132)</f>
        <v/>
      </c>
      <c r="G132" s="12" t="str">
        <f>IF($A132="","",'03_年度学习计划'!$N132)</f>
        <v/>
      </c>
      <c r="H132" s="12" t="str">
        <f>IF($A132="","",'03_年度学习计划'!$O132)</f>
        <v/>
      </c>
      <c r="I132" s="12" t="str">
        <f>IF($A132="","",'03_年度学习计划'!$P132)</f>
        <v/>
      </c>
      <c r="J132" s="11" t="str">
        <f>IF($A132="","",'03_年度学习计划'!$Q132)</f>
        <v/>
      </c>
      <c r="K132" s="11" t="str">
        <f>IF($A132="","",'03_年度学习计划'!$S132)</f>
        <v/>
      </c>
      <c r="L132" s="13" t="str">
        <f t="shared" si="4"/>
        <v/>
      </c>
      <c r="M132" s="13"/>
      <c r="N132" s="13"/>
      <c r="O132" s="13"/>
      <c r="P132" s="14"/>
      <c r="Q132" s="14"/>
      <c r="R132" s="14"/>
      <c r="S132" s="14"/>
      <c r="T132" s="14"/>
    </row>
    <row r="133" spans="1:20" ht="13.9">
      <c r="A133" s="11" t="str">
        <f>IF('03_年度学习计划'!$A133="","",'03_年度学习计划'!$A133)</f>
        <v/>
      </c>
      <c r="B133" s="11" t="str">
        <f>IF($A133="","",'03_年度学习计划'!$D133)</f>
        <v/>
      </c>
      <c r="C133" s="11" t="str">
        <f>IF($A133="","",'03_年度学习计划'!$F133)</f>
        <v/>
      </c>
      <c r="D133" s="11" t="str">
        <f>IF($A133="","",'03_年度学习计划'!$G133)</f>
        <v/>
      </c>
      <c r="E133" s="11" t="str">
        <f>IF($A133="","",'03_年度学习计划'!$E133)</f>
        <v/>
      </c>
      <c r="F133" s="11" t="str">
        <f>IF($A133="","",'03_年度学习计划'!$L133)</f>
        <v/>
      </c>
      <c r="G133" s="12" t="str">
        <f>IF($A133="","",'03_年度学习计划'!$N133)</f>
        <v/>
      </c>
      <c r="H133" s="12" t="str">
        <f>IF($A133="","",'03_年度学习计划'!$O133)</f>
        <v/>
      </c>
      <c r="I133" s="12" t="str">
        <f>IF($A133="","",'03_年度学习计划'!$P133)</f>
        <v/>
      </c>
      <c r="J133" s="11" t="str">
        <f>IF($A133="","",'03_年度学习计划'!$Q133)</f>
        <v/>
      </c>
      <c r="K133" s="11" t="str">
        <f>IF($A133="","",'03_年度学习计划'!$S133)</f>
        <v/>
      </c>
      <c r="L133" s="13" t="str">
        <f t="shared" si="4"/>
        <v/>
      </c>
      <c r="M133" s="13"/>
      <c r="N133" s="13"/>
      <c r="O133" s="13"/>
      <c r="P133" s="14"/>
      <c r="Q133" s="14"/>
      <c r="R133" s="14"/>
      <c r="S133" s="14"/>
      <c r="T133" s="14"/>
    </row>
    <row r="134" spans="1:20" ht="13.9">
      <c r="A134" s="11" t="str">
        <f>IF('03_年度学习计划'!$A134="","",'03_年度学习计划'!$A134)</f>
        <v/>
      </c>
      <c r="B134" s="11" t="str">
        <f>IF($A134="","",'03_年度学习计划'!$D134)</f>
        <v/>
      </c>
      <c r="C134" s="11" t="str">
        <f>IF($A134="","",'03_年度学习计划'!$F134)</f>
        <v/>
      </c>
      <c r="D134" s="11" t="str">
        <f>IF($A134="","",'03_年度学习计划'!$G134)</f>
        <v/>
      </c>
      <c r="E134" s="11" t="str">
        <f>IF($A134="","",'03_年度学习计划'!$E134)</f>
        <v/>
      </c>
      <c r="F134" s="11" t="str">
        <f>IF($A134="","",'03_年度学习计划'!$L134)</f>
        <v/>
      </c>
      <c r="G134" s="12" t="str">
        <f>IF($A134="","",'03_年度学习计划'!$N134)</f>
        <v/>
      </c>
      <c r="H134" s="12" t="str">
        <f>IF($A134="","",'03_年度学习计划'!$O134)</f>
        <v/>
      </c>
      <c r="I134" s="12" t="str">
        <f>IF($A134="","",'03_年度学习计划'!$P134)</f>
        <v/>
      </c>
      <c r="J134" s="11" t="str">
        <f>IF($A134="","",'03_年度学习计划'!$Q134)</f>
        <v/>
      </c>
      <c r="K134" s="11" t="str">
        <f>IF($A134="","",'03_年度学习计划'!$S134)</f>
        <v/>
      </c>
      <c r="L134" s="13" t="str">
        <f t="shared" si="4"/>
        <v/>
      </c>
      <c r="M134" s="13"/>
      <c r="N134" s="13"/>
      <c r="O134" s="13"/>
      <c r="P134" s="14"/>
      <c r="Q134" s="14"/>
      <c r="R134" s="14"/>
      <c r="S134" s="14"/>
      <c r="T134" s="14"/>
    </row>
    <row r="135" spans="1:20" ht="13.9">
      <c r="A135" s="11" t="str">
        <f>IF('03_年度学习计划'!$A135="","",'03_年度学习计划'!$A135)</f>
        <v/>
      </c>
      <c r="B135" s="11" t="str">
        <f>IF($A135="","",'03_年度学习计划'!$D135)</f>
        <v/>
      </c>
      <c r="C135" s="11" t="str">
        <f>IF($A135="","",'03_年度学习计划'!$F135)</f>
        <v/>
      </c>
      <c r="D135" s="11" t="str">
        <f>IF($A135="","",'03_年度学习计划'!$G135)</f>
        <v/>
      </c>
      <c r="E135" s="11" t="str">
        <f>IF($A135="","",'03_年度学习计划'!$E135)</f>
        <v/>
      </c>
      <c r="F135" s="11" t="str">
        <f>IF($A135="","",'03_年度学习计划'!$L135)</f>
        <v/>
      </c>
      <c r="G135" s="12" t="str">
        <f>IF($A135="","",'03_年度学习计划'!$N135)</f>
        <v/>
      </c>
      <c r="H135" s="12" t="str">
        <f>IF($A135="","",'03_年度学习计划'!$O135)</f>
        <v/>
      </c>
      <c r="I135" s="12" t="str">
        <f>IF($A135="","",'03_年度学习计划'!$P135)</f>
        <v/>
      </c>
      <c r="J135" s="11" t="str">
        <f>IF($A135="","",'03_年度学习计划'!$Q135)</f>
        <v/>
      </c>
      <c r="K135" s="11" t="str">
        <f>IF($A135="","",'03_年度学习计划'!$S135)</f>
        <v/>
      </c>
      <c r="L135" s="13" t="str">
        <f t="shared" si="4"/>
        <v/>
      </c>
      <c r="M135" s="13"/>
      <c r="N135" s="13"/>
      <c r="O135" s="13"/>
      <c r="P135" s="14"/>
      <c r="Q135" s="14"/>
      <c r="R135" s="14"/>
      <c r="S135" s="14"/>
      <c r="T135" s="14"/>
    </row>
    <row r="136" spans="1:20" ht="13.9">
      <c r="A136" s="11" t="str">
        <f>IF('03_年度学习计划'!$A136="","",'03_年度学习计划'!$A136)</f>
        <v/>
      </c>
      <c r="B136" s="11" t="str">
        <f>IF($A136="","",'03_年度学习计划'!$D136)</f>
        <v/>
      </c>
      <c r="C136" s="11" t="str">
        <f>IF($A136="","",'03_年度学习计划'!$F136)</f>
        <v/>
      </c>
      <c r="D136" s="11" t="str">
        <f>IF($A136="","",'03_年度学习计划'!$G136)</f>
        <v/>
      </c>
      <c r="E136" s="11" t="str">
        <f>IF($A136="","",'03_年度学习计划'!$E136)</f>
        <v/>
      </c>
      <c r="F136" s="11" t="str">
        <f>IF($A136="","",'03_年度学习计划'!$L136)</f>
        <v/>
      </c>
      <c r="G136" s="12" t="str">
        <f>IF($A136="","",'03_年度学习计划'!$N136)</f>
        <v/>
      </c>
      <c r="H136" s="12" t="str">
        <f>IF($A136="","",'03_年度学习计划'!$O136)</f>
        <v/>
      </c>
      <c r="I136" s="12" t="str">
        <f>IF($A136="","",'03_年度学习计划'!$P136)</f>
        <v/>
      </c>
      <c r="J136" s="11" t="str">
        <f>IF($A136="","",'03_年度学习计划'!$Q136)</f>
        <v/>
      </c>
      <c r="K136" s="11" t="str">
        <f>IF($A136="","",'03_年度学习计划'!$S136)</f>
        <v/>
      </c>
      <c r="L136" s="13" t="str">
        <f t="shared" si="4"/>
        <v/>
      </c>
      <c r="M136" s="13"/>
      <c r="N136" s="13"/>
      <c r="O136" s="13"/>
      <c r="P136" s="14"/>
      <c r="Q136" s="14"/>
      <c r="R136" s="14"/>
      <c r="S136" s="14"/>
      <c r="T136" s="14"/>
    </row>
    <row r="137" spans="1:20" ht="13.9">
      <c r="A137" s="11" t="str">
        <f>IF('03_年度学习计划'!$A137="","",'03_年度学习计划'!$A137)</f>
        <v/>
      </c>
      <c r="B137" s="11" t="str">
        <f>IF($A137="","",'03_年度学习计划'!$D137)</f>
        <v/>
      </c>
      <c r="C137" s="11" t="str">
        <f>IF($A137="","",'03_年度学习计划'!$F137)</f>
        <v/>
      </c>
      <c r="D137" s="11" t="str">
        <f>IF($A137="","",'03_年度学习计划'!$G137)</f>
        <v/>
      </c>
      <c r="E137" s="11" t="str">
        <f>IF($A137="","",'03_年度学习计划'!$E137)</f>
        <v/>
      </c>
      <c r="F137" s="11" t="str">
        <f>IF($A137="","",'03_年度学习计划'!$L137)</f>
        <v/>
      </c>
      <c r="G137" s="12" t="str">
        <f>IF($A137="","",'03_年度学习计划'!$N137)</f>
        <v/>
      </c>
      <c r="H137" s="12" t="str">
        <f>IF($A137="","",'03_年度学习计划'!$O137)</f>
        <v/>
      </c>
      <c r="I137" s="12" t="str">
        <f>IF($A137="","",'03_年度学习计划'!$P137)</f>
        <v/>
      </c>
      <c r="J137" s="11" t="str">
        <f>IF($A137="","",'03_年度学习计划'!$Q137)</f>
        <v/>
      </c>
      <c r="K137" s="11" t="str">
        <f>IF($A137="","",'03_年度学习计划'!$S137)</f>
        <v/>
      </c>
      <c r="L137" s="13" t="str">
        <f t="shared" si="4"/>
        <v/>
      </c>
      <c r="M137" s="13"/>
      <c r="N137" s="13"/>
      <c r="O137" s="13"/>
      <c r="P137" s="14"/>
      <c r="Q137" s="14"/>
      <c r="R137" s="14"/>
      <c r="S137" s="14"/>
      <c r="T137" s="14"/>
    </row>
    <row r="138" spans="1:20" ht="13.9">
      <c r="A138" s="11" t="str">
        <f>IF('03_年度学习计划'!$A138="","",'03_年度学习计划'!$A138)</f>
        <v/>
      </c>
      <c r="B138" s="11" t="str">
        <f>IF($A138="","",'03_年度学习计划'!$D138)</f>
        <v/>
      </c>
      <c r="C138" s="11" t="str">
        <f>IF($A138="","",'03_年度学习计划'!$F138)</f>
        <v/>
      </c>
      <c r="D138" s="11" t="str">
        <f>IF($A138="","",'03_年度学习计划'!$G138)</f>
        <v/>
      </c>
      <c r="E138" s="11" t="str">
        <f>IF($A138="","",'03_年度学习计划'!$E138)</f>
        <v/>
      </c>
      <c r="F138" s="11" t="str">
        <f>IF($A138="","",'03_年度学习计划'!$L138)</f>
        <v/>
      </c>
      <c r="G138" s="12" t="str">
        <f>IF($A138="","",'03_年度学习计划'!$N138)</f>
        <v/>
      </c>
      <c r="H138" s="12" t="str">
        <f>IF($A138="","",'03_年度学习计划'!$O138)</f>
        <v/>
      </c>
      <c r="I138" s="12" t="str">
        <f>IF($A138="","",'03_年度学习计划'!$P138)</f>
        <v/>
      </c>
      <c r="J138" s="11" t="str">
        <f>IF($A138="","",'03_年度学习计划'!$Q138)</f>
        <v/>
      </c>
      <c r="K138" s="11" t="str">
        <f>IF($A138="","",'03_年度学习计划'!$S138)</f>
        <v/>
      </c>
      <c r="L138" s="13" t="str">
        <f t="shared" si="4"/>
        <v/>
      </c>
      <c r="M138" s="13"/>
      <c r="N138" s="13"/>
      <c r="O138" s="13"/>
      <c r="P138" s="14"/>
      <c r="Q138" s="14"/>
      <c r="R138" s="14"/>
      <c r="S138" s="14"/>
      <c r="T138" s="14"/>
    </row>
    <row r="139" spans="1:20" ht="13.9">
      <c r="A139" s="11" t="str">
        <f>IF('03_年度学习计划'!$A139="","",'03_年度学习计划'!$A139)</f>
        <v/>
      </c>
      <c r="B139" s="11" t="str">
        <f>IF($A139="","",'03_年度学习计划'!$D139)</f>
        <v/>
      </c>
      <c r="C139" s="11" t="str">
        <f>IF($A139="","",'03_年度学习计划'!$F139)</f>
        <v/>
      </c>
      <c r="D139" s="11" t="str">
        <f>IF($A139="","",'03_年度学习计划'!$G139)</f>
        <v/>
      </c>
      <c r="E139" s="11" t="str">
        <f>IF($A139="","",'03_年度学习计划'!$E139)</f>
        <v/>
      </c>
      <c r="F139" s="11" t="str">
        <f>IF($A139="","",'03_年度学习计划'!$L139)</f>
        <v/>
      </c>
      <c r="G139" s="12" t="str">
        <f>IF($A139="","",'03_年度学习计划'!$N139)</f>
        <v/>
      </c>
      <c r="H139" s="12" t="str">
        <f>IF($A139="","",'03_年度学习计划'!$O139)</f>
        <v/>
      </c>
      <c r="I139" s="12" t="str">
        <f>IF($A139="","",'03_年度学习计划'!$P139)</f>
        <v/>
      </c>
      <c r="J139" s="11" t="str">
        <f>IF($A139="","",'03_年度学习计划'!$Q139)</f>
        <v/>
      </c>
      <c r="K139" s="11" t="str">
        <f>IF($A139="","",'03_年度学习计划'!$S139)</f>
        <v/>
      </c>
      <c r="L139" s="13" t="str">
        <f t="shared" si="4"/>
        <v/>
      </c>
      <c r="M139" s="13"/>
      <c r="N139" s="13"/>
      <c r="O139" s="13"/>
      <c r="P139" s="14"/>
      <c r="Q139" s="14"/>
      <c r="R139" s="14"/>
      <c r="S139" s="14"/>
      <c r="T139" s="14"/>
    </row>
    <row r="140" spans="1:20" ht="13.9">
      <c r="A140" s="11" t="str">
        <f>IF('03_年度学习计划'!$A140="","",'03_年度学习计划'!$A140)</f>
        <v/>
      </c>
      <c r="B140" s="11" t="str">
        <f>IF($A140="","",'03_年度学习计划'!$D140)</f>
        <v/>
      </c>
      <c r="C140" s="11" t="str">
        <f>IF($A140="","",'03_年度学习计划'!$F140)</f>
        <v/>
      </c>
      <c r="D140" s="11" t="str">
        <f>IF($A140="","",'03_年度学习计划'!$G140)</f>
        <v/>
      </c>
      <c r="E140" s="11" t="str">
        <f>IF($A140="","",'03_年度学习计划'!$E140)</f>
        <v/>
      </c>
      <c r="F140" s="11" t="str">
        <f>IF($A140="","",'03_年度学习计划'!$L140)</f>
        <v/>
      </c>
      <c r="G140" s="12" t="str">
        <f>IF($A140="","",'03_年度学习计划'!$N140)</f>
        <v/>
      </c>
      <c r="H140" s="12" t="str">
        <f>IF($A140="","",'03_年度学习计划'!$O140)</f>
        <v/>
      </c>
      <c r="I140" s="12" t="str">
        <f>IF($A140="","",'03_年度学习计划'!$P140)</f>
        <v/>
      </c>
      <c r="J140" s="11" t="str">
        <f>IF($A140="","",'03_年度学习计划'!$Q140)</f>
        <v/>
      </c>
      <c r="K140" s="11" t="str">
        <f>IF($A140="","",'03_年度学习计划'!$S140)</f>
        <v/>
      </c>
      <c r="L140" s="13" t="str">
        <f t="shared" si="4"/>
        <v/>
      </c>
      <c r="M140" s="13"/>
      <c r="N140" s="13"/>
      <c r="O140" s="13"/>
      <c r="P140" s="14"/>
      <c r="Q140" s="14"/>
      <c r="R140" s="14"/>
      <c r="S140" s="14"/>
      <c r="T140" s="14"/>
    </row>
    <row r="141" spans="1:20" ht="13.9">
      <c r="A141" s="11" t="str">
        <f>IF('03_年度学习计划'!$A141="","",'03_年度学习计划'!$A141)</f>
        <v/>
      </c>
      <c r="B141" s="11" t="str">
        <f>IF($A141="","",'03_年度学习计划'!$D141)</f>
        <v/>
      </c>
      <c r="C141" s="11" t="str">
        <f>IF($A141="","",'03_年度学习计划'!$F141)</f>
        <v/>
      </c>
      <c r="D141" s="11" t="str">
        <f>IF($A141="","",'03_年度学习计划'!$G141)</f>
        <v/>
      </c>
      <c r="E141" s="11" t="str">
        <f>IF($A141="","",'03_年度学习计划'!$E141)</f>
        <v/>
      </c>
      <c r="F141" s="11" t="str">
        <f>IF($A141="","",'03_年度学习计划'!$L141)</f>
        <v/>
      </c>
      <c r="G141" s="12" t="str">
        <f>IF($A141="","",'03_年度学习计划'!$N141)</f>
        <v/>
      </c>
      <c r="H141" s="12" t="str">
        <f>IF($A141="","",'03_年度学习计划'!$O141)</f>
        <v/>
      </c>
      <c r="I141" s="12" t="str">
        <f>IF($A141="","",'03_年度学习计划'!$P141)</f>
        <v/>
      </c>
      <c r="J141" s="11" t="str">
        <f>IF($A141="","",'03_年度学习计划'!$Q141)</f>
        <v/>
      </c>
      <c r="K141" s="11" t="str">
        <f>IF($A141="","",'03_年度学习计划'!$S141)</f>
        <v/>
      </c>
      <c r="L141" s="13" t="str">
        <f t="shared" si="4"/>
        <v/>
      </c>
      <c r="M141" s="13"/>
      <c r="N141" s="13"/>
      <c r="O141" s="13"/>
      <c r="P141" s="14"/>
      <c r="Q141" s="14"/>
      <c r="R141" s="14"/>
      <c r="S141" s="14"/>
      <c r="T141" s="14"/>
    </row>
    <row r="142" spans="1:20" ht="13.9">
      <c r="A142" s="11" t="str">
        <f>IF('03_年度学习计划'!$A142="","",'03_年度学习计划'!$A142)</f>
        <v/>
      </c>
      <c r="B142" s="11" t="str">
        <f>IF($A142="","",'03_年度学习计划'!$D142)</f>
        <v/>
      </c>
      <c r="C142" s="11" t="str">
        <f>IF($A142="","",'03_年度学习计划'!$F142)</f>
        <v/>
      </c>
      <c r="D142" s="11" t="str">
        <f>IF($A142="","",'03_年度学习计划'!$G142)</f>
        <v/>
      </c>
      <c r="E142" s="11" t="str">
        <f>IF($A142="","",'03_年度学习计划'!$E142)</f>
        <v/>
      </c>
      <c r="F142" s="11" t="str">
        <f>IF($A142="","",'03_年度学习计划'!$L142)</f>
        <v/>
      </c>
      <c r="G142" s="12" t="str">
        <f>IF($A142="","",'03_年度学习计划'!$N142)</f>
        <v/>
      </c>
      <c r="H142" s="12" t="str">
        <f>IF($A142="","",'03_年度学习计划'!$O142)</f>
        <v/>
      </c>
      <c r="I142" s="12" t="str">
        <f>IF($A142="","",'03_年度学习计划'!$P142)</f>
        <v/>
      </c>
      <c r="J142" s="11" t="str">
        <f>IF($A142="","",'03_年度学习计划'!$Q142)</f>
        <v/>
      </c>
      <c r="K142" s="11" t="str">
        <f>IF($A142="","",'03_年度学习计划'!$S142)</f>
        <v/>
      </c>
      <c r="L142" s="13" t="str">
        <f t="shared" si="4"/>
        <v/>
      </c>
      <c r="M142" s="13"/>
      <c r="N142" s="13"/>
      <c r="O142" s="13"/>
      <c r="P142" s="14"/>
      <c r="Q142" s="14"/>
      <c r="R142" s="14"/>
      <c r="S142" s="14"/>
      <c r="T142" s="14"/>
    </row>
    <row r="143" spans="1:20" ht="13.9">
      <c r="A143" s="11" t="str">
        <f>IF('03_年度学习计划'!$A143="","",'03_年度学习计划'!$A143)</f>
        <v/>
      </c>
      <c r="B143" s="11" t="str">
        <f>IF($A143="","",'03_年度学习计划'!$D143)</f>
        <v/>
      </c>
      <c r="C143" s="11" t="str">
        <f>IF($A143="","",'03_年度学习计划'!$F143)</f>
        <v/>
      </c>
      <c r="D143" s="11" t="str">
        <f>IF($A143="","",'03_年度学习计划'!$G143)</f>
        <v/>
      </c>
      <c r="E143" s="11" t="str">
        <f>IF($A143="","",'03_年度学习计划'!$E143)</f>
        <v/>
      </c>
      <c r="F143" s="11" t="str">
        <f>IF($A143="","",'03_年度学习计划'!$L143)</f>
        <v/>
      </c>
      <c r="G143" s="12" t="str">
        <f>IF($A143="","",'03_年度学习计划'!$N143)</f>
        <v/>
      </c>
      <c r="H143" s="12" t="str">
        <f>IF($A143="","",'03_年度学习计划'!$O143)</f>
        <v/>
      </c>
      <c r="I143" s="12" t="str">
        <f>IF($A143="","",'03_年度学习计划'!$P143)</f>
        <v/>
      </c>
      <c r="J143" s="11" t="str">
        <f>IF($A143="","",'03_年度学习计划'!$Q143)</f>
        <v/>
      </c>
      <c r="K143" s="11" t="str">
        <f>IF($A143="","",'03_年度学习计划'!$S143)</f>
        <v/>
      </c>
      <c r="L143" s="13" t="str">
        <f t="shared" si="4"/>
        <v/>
      </c>
      <c r="M143" s="13"/>
      <c r="N143" s="13"/>
      <c r="O143" s="13"/>
      <c r="P143" s="14"/>
      <c r="Q143" s="14"/>
      <c r="R143" s="14"/>
      <c r="S143" s="14"/>
      <c r="T143" s="14"/>
    </row>
    <row r="144" spans="1:20" ht="13.9">
      <c r="A144" s="11" t="str">
        <f>IF('03_年度学习计划'!$A144="","",'03_年度学习计划'!$A144)</f>
        <v/>
      </c>
      <c r="B144" s="11" t="str">
        <f>IF($A144="","",'03_年度学习计划'!$D144)</f>
        <v/>
      </c>
      <c r="C144" s="11" t="str">
        <f>IF($A144="","",'03_年度学习计划'!$F144)</f>
        <v/>
      </c>
      <c r="D144" s="11" t="str">
        <f>IF($A144="","",'03_年度学习计划'!$G144)</f>
        <v/>
      </c>
      <c r="E144" s="11" t="str">
        <f>IF($A144="","",'03_年度学习计划'!$E144)</f>
        <v/>
      </c>
      <c r="F144" s="11" t="str">
        <f>IF($A144="","",'03_年度学习计划'!$L144)</f>
        <v/>
      </c>
      <c r="G144" s="12" t="str">
        <f>IF($A144="","",'03_年度学习计划'!$N144)</f>
        <v/>
      </c>
      <c r="H144" s="12" t="str">
        <f>IF($A144="","",'03_年度学习计划'!$O144)</f>
        <v/>
      </c>
      <c r="I144" s="12" t="str">
        <f>IF($A144="","",'03_年度学习计划'!$P144)</f>
        <v/>
      </c>
      <c r="J144" s="11" t="str">
        <f>IF($A144="","",'03_年度学习计划'!$Q144)</f>
        <v/>
      </c>
      <c r="K144" s="11" t="str">
        <f>IF($A144="","",'03_年度学习计划'!$S144)</f>
        <v/>
      </c>
      <c r="L144" s="13" t="str">
        <f t="shared" si="4"/>
        <v/>
      </c>
      <c r="M144" s="13"/>
      <c r="N144" s="13"/>
      <c r="O144" s="13"/>
      <c r="P144" s="14"/>
      <c r="Q144" s="14"/>
      <c r="R144" s="14"/>
      <c r="S144" s="14"/>
      <c r="T144" s="14"/>
    </row>
    <row r="145" spans="1:20" ht="13.9">
      <c r="A145" s="11" t="str">
        <f>IF('03_年度学习计划'!$A145="","",'03_年度学习计划'!$A145)</f>
        <v/>
      </c>
      <c r="B145" s="11" t="str">
        <f>IF($A145="","",'03_年度学习计划'!$D145)</f>
        <v/>
      </c>
      <c r="C145" s="11" t="str">
        <f>IF($A145="","",'03_年度学习计划'!$F145)</f>
        <v/>
      </c>
      <c r="D145" s="11" t="str">
        <f>IF($A145="","",'03_年度学习计划'!$G145)</f>
        <v/>
      </c>
      <c r="E145" s="11" t="str">
        <f>IF($A145="","",'03_年度学习计划'!$E145)</f>
        <v/>
      </c>
      <c r="F145" s="11" t="str">
        <f>IF($A145="","",'03_年度学习计划'!$L145)</f>
        <v/>
      </c>
      <c r="G145" s="12" t="str">
        <f>IF($A145="","",'03_年度学习计划'!$N145)</f>
        <v/>
      </c>
      <c r="H145" s="12" t="str">
        <f>IF($A145="","",'03_年度学习计划'!$O145)</f>
        <v/>
      </c>
      <c r="I145" s="12" t="str">
        <f>IF($A145="","",'03_年度学习计划'!$P145)</f>
        <v/>
      </c>
      <c r="J145" s="11" t="str">
        <f>IF($A145="","",'03_年度学习计划'!$Q145)</f>
        <v/>
      </c>
      <c r="K145" s="11" t="str">
        <f>IF($A145="","",'03_年度学习计划'!$S145)</f>
        <v/>
      </c>
      <c r="L145" s="13" t="str">
        <f t="shared" si="4"/>
        <v/>
      </c>
      <c r="M145" s="13"/>
      <c r="N145" s="13"/>
      <c r="O145" s="13"/>
      <c r="P145" s="14"/>
      <c r="Q145" s="14"/>
      <c r="R145" s="14"/>
      <c r="S145" s="14"/>
      <c r="T145" s="14"/>
    </row>
    <row r="146" spans="1:20" ht="13.9">
      <c r="A146" s="11" t="str">
        <f>IF('03_年度学习计划'!$A146="","",'03_年度学习计划'!$A146)</f>
        <v/>
      </c>
      <c r="B146" s="11" t="str">
        <f>IF($A146="","",'03_年度学习计划'!$D146)</f>
        <v/>
      </c>
      <c r="C146" s="11" t="str">
        <f>IF($A146="","",'03_年度学习计划'!$F146)</f>
        <v/>
      </c>
      <c r="D146" s="11" t="str">
        <f>IF($A146="","",'03_年度学习计划'!$G146)</f>
        <v/>
      </c>
      <c r="E146" s="11" t="str">
        <f>IF($A146="","",'03_年度学习计划'!$E146)</f>
        <v/>
      </c>
      <c r="F146" s="11" t="str">
        <f>IF($A146="","",'03_年度学习计划'!$L146)</f>
        <v/>
      </c>
      <c r="G146" s="12" t="str">
        <f>IF($A146="","",'03_年度学习计划'!$N146)</f>
        <v/>
      </c>
      <c r="H146" s="12" t="str">
        <f>IF($A146="","",'03_年度学习计划'!$O146)</f>
        <v/>
      </c>
      <c r="I146" s="12" t="str">
        <f>IF($A146="","",'03_年度学习计划'!$P146)</f>
        <v/>
      </c>
      <c r="J146" s="11" t="str">
        <f>IF($A146="","",'03_年度学习计划'!$Q146)</f>
        <v/>
      </c>
      <c r="K146" s="11" t="str">
        <f>IF($A146="","",'03_年度学习计划'!$S146)</f>
        <v/>
      </c>
      <c r="L146" s="13" t="str">
        <f t="shared" si="4"/>
        <v/>
      </c>
      <c r="M146" s="13"/>
      <c r="N146" s="13"/>
      <c r="O146" s="13"/>
      <c r="P146" s="14"/>
      <c r="Q146" s="14"/>
      <c r="R146" s="14"/>
      <c r="S146" s="14"/>
      <c r="T146" s="14"/>
    </row>
    <row r="147" spans="1:20" ht="13.9">
      <c r="A147" s="11" t="str">
        <f>IF('03_年度学习计划'!$A147="","",'03_年度学习计划'!$A147)</f>
        <v/>
      </c>
      <c r="B147" s="11" t="str">
        <f>IF($A147="","",'03_年度学习计划'!$D147)</f>
        <v/>
      </c>
      <c r="C147" s="11" t="str">
        <f>IF($A147="","",'03_年度学习计划'!$F147)</f>
        <v/>
      </c>
      <c r="D147" s="11" t="str">
        <f>IF($A147="","",'03_年度学习计划'!$G147)</f>
        <v/>
      </c>
      <c r="E147" s="11" t="str">
        <f>IF($A147="","",'03_年度学习计划'!$E147)</f>
        <v/>
      </c>
      <c r="F147" s="11" t="str">
        <f>IF($A147="","",'03_年度学习计划'!$L147)</f>
        <v/>
      </c>
      <c r="G147" s="12" t="str">
        <f>IF($A147="","",'03_年度学习计划'!$N147)</f>
        <v/>
      </c>
      <c r="H147" s="12" t="str">
        <f>IF($A147="","",'03_年度学习计划'!$O147)</f>
        <v/>
      </c>
      <c r="I147" s="12" t="str">
        <f>IF($A147="","",'03_年度学习计划'!$P147)</f>
        <v/>
      </c>
      <c r="J147" s="11" t="str">
        <f>IF($A147="","",'03_年度学习计划'!$Q147)</f>
        <v/>
      </c>
      <c r="K147" s="11" t="str">
        <f>IF($A147="","",'03_年度学习计划'!$S147)</f>
        <v/>
      </c>
      <c r="L147" s="13" t="str">
        <f t="shared" si="4"/>
        <v/>
      </c>
      <c r="M147" s="13"/>
      <c r="N147" s="13"/>
      <c r="O147" s="13"/>
      <c r="P147" s="14"/>
      <c r="Q147" s="14"/>
      <c r="R147" s="14"/>
      <c r="S147" s="14"/>
      <c r="T147" s="14"/>
    </row>
    <row r="148" spans="1:20" ht="13.9">
      <c r="A148" s="11" t="str">
        <f>IF('03_年度学习计划'!$A148="","",'03_年度学习计划'!$A148)</f>
        <v/>
      </c>
      <c r="B148" s="11" t="str">
        <f>IF($A148="","",'03_年度学习计划'!$D148)</f>
        <v/>
      </c>
      <c r="C148" s="11" t="str">
        <f>IF($A148="","",'03_年度学习计划'!$F148)</f>
        <v/>
      </c>
      <c r="D148" s="11" t="str">
        <f>IF($A148="","",'03_年度学习计划'!$G148)</f>
        <v/>
      </c>
      <c r="E148" s="11" t="str">
        <f>IF($A148="","",'03_年度学习计划'!$E148)</f>
        <v/>
      </c>
      <c r="F148" s="11" t="str">
        <f>IF($A148="","",'03_年度学习计划'!$L148)</f>
        <v/>
      </c>
      <c r="G148" s="12" t="str">
        <f>IF($A148="","",'03_年度学习计划'!$N148)</f>
        <v/>
      </c>
      <c r="H148" s="12" t="str">
        <f>IF($A148="","",'03_年度学习计划'!$O148)</f>
        <v/>
      </c>
      <c r="I148" s="12" t="str">
        <f>IF($A148="","",'03_年度学习计划'!$P148)</f>
        <v/>
      </c>
      <c r="J148" s="11" t="str">
        <f>IF($A148="","",'03_年度学习计划'!$Q148)</f>
        <v/>
      </c>
      <c r="K148" s="11" t="str">
        <f>IF($A148="","",'03_年度学习计划'!$S148)</f>
        <v/>
      </c>
      <c r="L148" s="13" t="str">
        <f t="shared" si="4"/>
        <v/>
      </c>
      <c r="M148" s="13"/>
      <c r="N148" s="13"/>
      <c r="O148" s="13"/>
      <c r="P148" s="14"/>
      <c r="Q148" s="14"/>
      <c r="R148" s="14"/>
      <c r="S148" s="14"/>
      <c r="T148" s="14"/>
    </row>
    <row r="149" spans="1:20" ht="13.9">
      <c r="A149" s="11" t="str">
        <f>IF('03_年度学习计划'!$A149="","",'03_年度学习计划'!$A149)</f>
        <v/>
      </c>
      <c r="B149" s="11" t="str">
        <f>IF($A149="","",'03_年度学习计划'!$D149)</f>
        <v/>
      </c>
      <c r="C149" s="11" t="str">
        <f>IF($A149="","",'03_年度学习计划'!$F149)</f>
        <v/>
      </c>
      <c r="D149" s="11" t="str">
        <f>IF($A149="","",'03_年度学习计划'!$G149)</f>
        <v/>
      </c>
      <c r="E149" s="11" t="str">
        <f>IF($A149="","",'03_年度学习计划'!$E149)</f>
        <v/>
      </c>
      <c r="F149" s="11" t="str">
        <f>IF($A149="","",'03_年度学习计划'!$L149)</f>
        <v/>
      </c>
      <c r="G149" s="12" t="str">
        <f>IF($A149="","",'03_年度学习计划'!$N149)</f>
        <v/>
      </c>
      <c r="H149" s="12" t="str">
        <f>IF($A149="","",'03_年度学习计划'!$O149)</f>
        <v/>
      </c>
      <c r="I149" s="12" t="str">
        <f>IF($A149="","",'03_年度学习计划'!$P149)</f>
        <v/>
      </c>
      <c r="J149" s="11" t="str">
        <f>IF($A149="","",'03_年度学习计划'!$Q149)</f>
        <v/>
      </c>
      <c r="K149" s="11" t="str">
        <f>IF($A149="","",'03_年度学习计划'!$S149)</f>
        <v/>
      </c>
      <c r="L149" s="13" t="str">
        <f t="shared" si="4"/>
        <v/>
      </c>
      <c r="M149" s="13"/>
      <c r="N149" s="13"/>
      <c r="O149" s="13"/>
      <c r="P149" s="14"/>
      <c r="Q149" s="14"/>
      <c r="R149" s="14"/>
      <c r="S149" s="14"/>
      <c r="T149" s="14"/>
    </row>
    <row r="150" spans="1:20" ht="13.9">
      <c r="A150" s="11" t="str">
        <f>IF('03_年度学习计划'!$A150="","",'03_年度学习计划'!$A150)</f>
        <v/>
      </c>
      <c r="B150" s="11" t="str">
        <f>IF($A150="","",'03_年度学习计划'!$D150)</f>
        <v/>
      </c>
      <c r="C150" s="11" t="str">
        <f>IF($A150="","",'03_年度学习计划'!$F150)</f>
        <v/>
      </c>
      <c r="D150" s="11" t="str">
        <f>IF($A150="","",'03_年度学习计划'!$G150)</f>
        <v/>
      </c>
      <c r="E150" s="11" t="str">
        <f>IF($A150="","",'03_年度学习计划'!$E150)</f>
        <v/>
      </c>
      <c r="F150" s="11" t="str">
        <f>IF($A150="","",'03_年度学习计划'!$L150)</f>
        <v/>
      </c>
      <c r="G150" s="12" t="str">
        <f>IF($A150="","",'03_年度学习计划'!$N150)</f>
        <v/>
      </c>
      <c r="H150" s="12" t="str">
        <f>IF($A150="","",'03_年度学习计划'!$O150)</f>
        <v/>
      </c>
      <c r="I150" s="12" t="str">
        <f>IF($A150="","",'03_年度学习计划'!$P150)</f>
        <v/>
      </c>
      <c r="J150" s="11" t="str">
        <f>IF($A150="","",'03_年度学习计划'!$Q150)</f>
        <v/>
      </c>
      <c r="K150" s="11" t="str">
        <f>IF($A150="","",'03_年度学习计划'!$S150)</f>
        <v/>
      </c>
      <c r="L150" s="13" t="str">
        <f t="shared" si="4"/>
        <v/>
      </c>
      <c r="M150" s="13"/>
      <c r="N150" s="13"/>
      <c r="O150" s="13"/>
      <c r="P150" s="14"/>
      <c r="Q150" s="14"/>
      <c r="R150" s="14"/>
      <c r="S150" s="14"/>
      <c r="T150" s="14"/>
    </row>
    <row r="151" spans="1:20" ht="13.9">
      <c r="A151" s="11" t="str">
        <f>IF('03_年度学习计划'!$A151="","",'03_年度学习计划'!$A151)</f>
        <v/>
      </c>
      <c r="B151" s="11" t="str">
        <f>IF($A151="","",'03_年度学习计划'!$D151)</f>
        <v/>
      </c>
      <c r="C151" s="11" t="str">
        <f>IF($A151="","",'03_年度学习计划'!$F151)</f>
        <v/>
      </c>
      <c r="D151" s="11" t="str">
        <f>IF($A151="","",'03_年度学习计划'!$G151)</f>
        <v/>
      </c>
      <c r="E151" s="11" t="str">
        <f>IF($A151="","",'03_年度学习计划'!$E151)</f>
        <v/>
      </c>
      <c r="F151" s="11" t="str">
        <f>IF($A151="","",'03_年度学习计划'!$L151)</f>
        <v/>
      </c>
      <c r="G151" s="12" t="str">
        <f>IF($A151="","",'03_年度学习计划'!$N151)</f>
        <v/>
      </c>
      <c r="H151" s="12" t="str">
        <f>IF($A151="","",'03_年度学习计划'!$O151)</f>
        <v/>
      </c>
      <c r="I151" s="12" t="str">
        <f>IF($A151="","",'03_年度学习计划'!$P151)</f>
        <v/>
      </c>
      <c r="J151" s="11" t="str">
        <f>IF($A151="","",'03_年度学习计划'!$Q151)</f>
        <v/>
      </c>
      <c r="K151" s="11" t="str">
        <f>IF($A151="","",'03_年度学习计划'!$S151)</f>
        <v/>
      </c>
      <c r="L151" s="13" t="str">
        <f t="shared" si="4"/>
        <v/>
      </c>
      <c r="M151" s="13"/>
      <c r="N151" s="13"/>
      <c r="O151" s="13"/>
      <c r="P151" s="14"/>
      <c r="Q151" s="14"/>
      <c r="R151" s="14"/>
      <c r="S151" s="14"/>
      <c r="T151" s="14"/>
    </row>
    <row r="152" spans="1:20" ht="13.9">
      <c r="A152" s="11" t="str">
        <f>IF('03_年度学习计划'!$A152="","",'03_年度学习计划'!$A152)</f>
        <v/>
      </c>
      <c r="B152" s="11" t="str">
        <f>IF($A152="","",'03_年度学习计划'!$D152)</f>
        <v/>
      </c>
      <c r="C152" s="11" t="str">
        <f>IF($A152="","",'03_年度学习计划'!$F152)</f>
        <v/>
      </c>
      <c r="D152" s="11" t="str">
        <f>IF($A152="","",'03_年度学习计划'!$G152)</f>
        <v/>
      </c>
      <c r="E152" s="11" t="str">
        <f>IF($A152="","",'03_年度学习计划'!$E152)</f>
        <v/>
      </c>
      <c r="F152" s="11" t="str">
        <f>IF($A152="","",'03_年度学习计划'!$L152)</f>
        <v/>
      </c>
      <c r="G152" s="12" t="str">
        <f>IF($A152="","",'03_年度学习计划'!$N152)</f>
        <v/>
      </c>
      <c r="H152" s="12" t="str">
        <f>IF($A152="","",'03_年度学习计划'!$O152)</f>
        <v/>
      </c>
      <c r="I152" s="12" t="str">
        <f>IF($A152="","",'03_年度学习计划'!$P152)</f>
        <v/>
      </c>
      <c r="J152" s="11" t="str">
        <f>IF($A152="","",'03_年度学习计划'!$Q152)</f>
        <v/>
      </c>
      <c r="K152" s="11" t="str">
        <f>IF($A152="","",'03_年度学习计划'!$S152)</f>
        <v/>
      </c>
      <c r="L152" s="13" t="str">
        <f t="shared" si="4"/>
        <v/>
      </c>
      <c r="M152" s="13"/>
      <c r="N152" s="13"/>
      <c r="O152" s="13"/>
      <c r="P152" s="14"/>
      <c r="Q152" s="14"/>
      <c r="R152" s="14"/>
      <c r="S152" s="14"/>
      <c r="T152" s="14"/>
    </row>
    <row r="153" spans="1:20" ht="13.9">
      <c r="A153" s="11" t="str">
        <f>IF('03_年度学习计划'!$A153="","",'03_年度学习计划'!$A153)</f>
        <v/>
      </c>
      <c r="B153" s="11" t="str">
        <f>IF($A153="","",'03_年度学习计划'!$D153)</f>
        <v/>
      </c>
      <c r="C153" s="11" t="str">
        <f>IF($A153="","",'03_年度学习计划'!$F153)</f>
        <v/>
      </c>
      <c r="D153" s="11" t="str">
        <f>IF($A153="","",'03_年度学习计划'!$G153)</f>
        <v/>
      </c>
      <c r="E153" s="11" t="str">
        <f>IF($A153="","",'03_年度学习计划'!$E153)</f>
        <v/>
      </c>
      <c r="F153" s="11" t="str">
        <f>IF($A153="","",'03_年度学习计划'!$L153)</f>
        <v/>
      </c>
      <c r="G153" s="12" t="str">
        <f>IF($A153="","",'03_年度学习计划'!$N153)</f>
        <v/>
      </c>
      <c r="H153" s="12" t="str">
        <f>IF($A153="","",'03_年度学习计划'!$O153)</f>
        <v/>
      </c>
      <c r="I153" s="12" t="str">
        <f>IF($A153="","",'03_年度学习计划'!$P153)</f>
        <v/>
      </c>
      <c r="J153" s="11" t="str">
        <f>IF($A153="","",'03_年度学习计划'!$Q153)</f>
        <v/>
      </c>
      <c r="K153" s="11" t="str">
        <f>IF($A153="","",'03_年度学习计划'!$S153)</f>
        <v/>
      </c>
      <c r="L153" s="13" t="str">
        <f t="shared" si="4"/>
        <v/>
      </c>
      <c r="M153" s="13"/>
      <c r="N153" s="13"/>
      <c r="O153" s="13"/>
      <c r="P153" s="14"/>
      <c r="Q153" s="14"/>
      <c r="R153" s="14"/>
      <c r="S153" s="14"/>
      <c r="T153" s="14"/>
    </row>
    <row r="154" spans="1:20" ht="13.9">
      <c r="A154" s="11" t="str">
        <f>IF('03_年度学习计划'!$A154="","",'03_年度学习计划'!$A154)</f>
        <v/>
      </c>
      <c r="B154" s="11" t="str">
        <f>IF($A154="","",'03_年度学习计划'!$D154)</f>
        <v/>
      </c>
      <c r="C154" s="11" t="str">
        <f>IF($A154="","",'03_年度学习计划'!$F154)</f>
        <v/>
      </c>
      <c r="D154" s="11" t="str">
        <f>IF($A154="","",'03_年度学习计划'!$G154)</f>
        <v/>
      </c>
      <c r="E154" s="11" t="str">
        <f>IF($A154="","",'03_年度学习计划'!$E154)</f>
        <v/>
      </c>
      <c r="F154" s="11" t="str">
        <f>IF($A154="","",'03_年度学习计划'!$L154)</f>
        <v/>
      </c>
      <c r="G154" s="12" t="str">
        <f>IF($A154="","",'03_年度学习计划'!$N154)</f>
        <v/>
      </c>
      <c r="H154" s="12" t="str">
        <f>IF($A154="","",'03_年度学习计划'!$O154)</f>
        <v/>
      </c>
      <c r="I154" s="12" t="str">
        <f>IF($A154="","",'03_年度学习计划'!$P154)</f>
        <v/>
      </c>
      <c r="J154" s="11" t="str">
        <f>IF($A154="","",'03_年度学习计划'!$Q154)</f>
        <v/>
      </c>
      <c r="K154" s="11" t="str">
        <f>IF($A154="","",'03_年度学习计划'!$S154)</f>
        <v/>
      </c>
      <c r="L154" s="13" t="str">
        <f t="shared" si="4"/>
        <v/>
      </c>
      <c r="M154" s="13"/>
      <c r="N154" s="13"/>
      <c r="O154" s="13"/>
      <c r="P154" s="14"/>
      <c r="Q154" s="14"/>
      <c r="R154" s="14"/>
      <c r="S154" s="14"/>
      <c r="T154" s="14"/>
    </row>
    <row r="155" spans="1:20" ht="13.9">
      <c r="A155" s="11" t="str">
        <f>IF('03_年度学习计划'!$A155="","",'03_年度学习计划'!$A155)</f>
        <v/>
      </c>
      <c r="B155" s="11" t="str">
        <f>IF($A155="","",'03_年度学习计划'!$D155)</f>
        <v/>
      </c>
      <c r="C155" s="11" t="str">
        <f>IF($A155="","",'03_年度学习计划'!$F155)</f>
        <v/>
      </c>
      <c r="D155" s="11" t="str">
        <f>IF($A155="","",'03_年度学习计划'!$G155)</f>
        <v/>
      </c>
      <c r="E155" s="11" t="str">
        <f>IF($A155="","",'03_年度学习计划'!$E155)</f>
        <v/>
      </c>
      <c r="F155" s="11" t="str">
        <f>IF($A155="","",'03_年度学习计划'!$L155)</f>
        <v/>
      </c>
      <c r="G155" s="12" t="str">
        <f>IF($A155="","",'03_年度学习计划'!$N155)</f>
        <v/>
      </c>
      <c r="H155" s="12" t="str">
        <f>IF($A155="","",'03_年度学习计划'!$O155)</f>
        <v/>
      </c>
      <c r="I155" s="12" t="str">
        <f>IF($A155="","",'03_年度学习计划'!$P155)</f>
        <v/>
      </c>
      <c r="J155" s="11" t="str">
        <f>IF($A155="","",'03_年度学习计划'!$Q155)</f>
        <v/>
      </c>
      <c r="K155" s="11" t="str">
        <f>IF($A155="","",'03_年度学习计划'!$S155)</f>
        <v/>
      </c>
      <c r="L155" s="13" t="str">
        <f t="shared" si="4"/>
        <v/>
      </c>
      <c r="M155" s="13"/>
      <c r="N155" s="13"/>
      <c r="O155" s="13"/>
      <c r="P155" s="14"/>
      <c r="Q155" s="14"/>
      <c r="R155" s="14"/>
      <c r="S155" s="14"/>
      <c r="T155" s="14"/>
    </row>
    <row r="156" spans="1:20" ht="13.9">
      <c r="A156" s="11" t="str">
        <f>IF('03_年度学习计划'!$A156="","",'03_年度学习计划'!$A156)</f>
        <v/>
      </c>
      <c r="B156" s="11" t="str">
        <f>IF($A156="","",'03_年度学习计划'!$D156)</f>
        <v/>
      </c>
      <c r="C156" s="11" t="str">
        <f>IF($A156="","",'03_年度学习计划'!$F156)</f>
        <v/>
      </c>
      <c r="D156" s="11" t="str">
        <f>IF($A156="","",'03_年度学习计划'!$G156)</f>
        <v/>
      </c>
      <c r="E156" s="11" t="str">
        <f>IF($A156="","",'03_年度学习计划'!$E156)</f>
        <v/>
      </c>
      <c r="F156" s="11" t="str">
        <f>IF($A156="","",'03_年度学习计划'!$L156)</f>
        <v/>
      </c>
      <c r="G156" s="12" t="str">
        <f>IF($A156="","",'03_年度学习计划'!$N156)</f>
        <v/>
      </c>
      <c r="H156" s="12" t="str">
        <f>IF($A156="","",'03_年度学习计划'!$O156)</f>
        <v/>
      </c>
      <c r="I156" s="12" t="str">
        <f>IF($A156="","",'03_年度学习计划'!$P156)</f>
        <v/>
      </c>
      <c r="J156" s="11" t="str">
        <f>IF($A156="","",'03_年度学习计划'!$Q156)</f>
        <v/>
      </c>
      <c r="K156" s="11" t="str">
        <f>IF($A156="","",'03_年度学习计划'!$S156)</f>
        <v/>
      </c>
      <c r="L156" s="13" t="str">
        <f t="shared" si="4"/>
        <v/>
      </c>
      <c r="M156" s="13"/>
      <c r="N156" s="13"/>
      <c r="O156" s="13"/>
      <c r="P156" s="14"/>
      <c r="Q156" s="14"/>
      <c r="R156" s="14"/>
      <c r="S156" s="14"/>
      <c r="T156" s="14"/>
    </row>
    <row r="157" spans="1:20" ht="13.9">
      <c r="A157" s="11" t="str">
        <f>IF('03_年度学习计划'!$A157="","",'03_年度学习计划'!$A157)</f>
        <v/>
      </c>
      <c r="B157" s="11" t="str">
        <f>IF($A157="","",'03_年度学习计划'!$D157)</f>
        <v/>
      </c>
      <c r="C157" s="11" t="str">
        <f>IF($A157="","",'03_年度学习计划'!$F157)</f>
        <v/>
      </c>
      <c r="D157" s="11" t="str">
        <f>IF($A157="","",'03_年度学习计划'!$G157)</f>
        <v/>
      </c>
      <c r="E157" s="11" t="str">
        <f>IF($A157="","",'03_年度学习计划'!$E157)</f>
        <v/>
      </c>
      <c r="F157" s="11" t="str">
        <f>IF($A157="","",'03_年度学习计划'!$L157)</f>
        <v/>
      </c>
      <c r="G157" s="12" t="str">
        <f>IF($A157="","",'03_年度学习计划'!$N157)</f>
        <v/>
      </c>
      <c r="H157" s="12" t="str">
        <f>IF($A157="","",'03_年度学习计划'!$O157)</f>
        <v/>
      </c>
      <c r="I157" s="12" t="str">
        <f>IF($A157="","",'03_年度学习计划'!$P157)</f>
        <v/>
      </c>
      <c r="J157" s="11" t="str">
        <f>IF($A157="","",'03_年度学习计划'!$Q157)</f>
        <v/>
      </c>
      <c r="K157" s="11" t="str">
        <f>IF($A157="","",'03_年度学习计划'!$S157)</f>
        <v/>
      </c>
      <c r="L157" s="13" t="str">
        <f t="shared" si="4"/>
        <v/>
      </c>
      <c r="M157" s="13"/>
      <c r="N157" s="13"/>
      <c r="O157" s="13"/>
      <c r="P157" s="14"/>
      <c r="Q157" s="14"/>
      <c r="R157" s="14"/>
      <c r="S157" s="14"/>
      <c r="T157" s="14"/>
    </row>
    <row r="158" spans="1:20" ht="13.9">
      <c r="A158" s="11" t="str">
        <f>IF('03_年度学习计划'!$A158="","",'03_年度学习计划'!$A158)</f>
        <v/>
      </c>
      <c r="B158" s="11" t="str">
        <f>IF($A158="","",'03_年度学习计划'!$D158)</f>
        <v/>
      </c>
      <c r="C158" s="11" t="str">
        <f>IF($A158="","",'03_年度学习计划'!$F158)</f>
        <v/>
      </c>
      <c r="D158" s="11" t="str">
        <f>IF($A158="","",'03_年度学习计划'!$G158)</f>
        <v/>
      </c>
      <c r="E158" s="11" t="str">
        <f>IF($A158="","",'03_年度学习计划'!$E158)</f>
        <v/>
      </c>
      <c r="F158" s="11" t="str">
        <f>IF($A158="","",'03_年度学习计划'!$L158)</f>
        <v/>
      </c>
      <c r="G158" s="12" t="str">
        <f>IF($A158="","",'03_年度学习计划'!$N158)</f>
        <v/>
      </c>
      <c r="H158" s="12" t="str">
        <f>IF($A158="","",'03_年度学习计划'!$O158)</f>
        <v/>
      </c>
      <c r="I158" s="12" t="str">
        <f>IF($A158="","",'03_年度学习计划'!$P158)</f>
        <v/>
      </c>
      <c r="J158" s="11" t="str">
        <f>IF($A158="","",'03_年度学习计划'!$Q158)</f>
        <v/>
      </c>
      <c r="K158" s="11" t="str">
        <f>IF($A158="","",'03_年度学习计划'!$S158)</f>
        <v/>
      </c>
      <c r="L158" s="13" t="str">
        <f t="shared" si="4"/>
        <v/>
      </c>
      <c r="M158" s="13"/>
      <c r="N158" s="13"/>
      <c r="O158" s="13"/>
      <c r="P158" s="14"/>
      <c r="Q158" s="14"/>
      <c r="R158" s="14"/>
      <c r="S158" s="14"/>
      <c r="T158" s="14"/>
    </row>
    <row r="159" spans="1:20" ht="13.9">
      <c r="A159" s="11" t="str">
        <f>IF('03_年度学习计划'!$A159="","",'03_年度学习计划'!$A159)</f>
        <v/>
      </c>
      <c r="B159" s="11" t="str">
        <f>IF($A159="","",'03_年度学习计划'!$D159)</f>
        <v/>
      </c>
      <c r="C159" s="11" t="str">
        <f>IF($A159="","",'03_年度学习计划'!$F159)</f>
        <v/>
      </c>
      <c r="D159" s="11" t="str">
        <f>IF($A159="","",'03_年度学习计划'!$G159)</f>
        <v/>
      </c>
      <c r="E159" s="11" t="str">
        <f>IF($A159="","",'03_年度学习计划'!$E159)</f>
        <v/>
      </c>
      <c r="F159" s="11" t="str">
        <f>IF($A159="","",'03_年度学习计划'!$L159)</f>
        <v/>
      </c>
      <c r="G159" s="12" t="str">
        <f>IF($A159="","",'03_年度学习计划'!$N159)</f>
        <v/>
      </c>
      <c r="H159" s="12" t="str">
        <f>IF($A159="","",'03_年度学习计划'!$O159)</f>
        <v/>
      </c>
      <c r="I159" s="12" t="str">
        <f>IF($A159="","",'03_年度学习计划'!$P159)</f>
        <v/>
      </c>
      <c r="J159" s="11" t="str">
        <f>IF($A159="","",'03_年度学习计划'!$Q159)</f>
        <v/>
      </c>
      <c r="K159" s="11" t="str">
        <f>IF($A159="","",'03_年度学习计划'!$S159)</f>
        <v/>
      </c>
      <c r="L159" s="13" t="str">
        <f t="shared" si="4"/>
        <v/>
      </c>
      <c r="M159" s="13"/>
      <c r="N159" s="13"/>
      <c r="O159" s="13"/>
      <c r="P159" s="14"/>
      <c r="Q159" s="14"/>
      <c r="R159" s="14"/>
      <c r="S159" s="14"/>
      <c r="T159" s="14"/>
    </row>
    <row r="160" spans="1:20" ht="13.9">
      <c r="A160" s="11" t="str">
        <f>IF('03_年度学习计划'!$A160="","",'03_年度学习计划'!$A160)</f>
        <v/>
      </c>
      <c r="B160" s="11" t="str">
        <f>IF($A160="","",'03_年度学习计划'!$D160)</f>
        <v/>
      </c>
      <c r="C160" s="11" t="str">
        <f>IF($A160="","",'03_年度学习计划'!$F160)</f>
        <v/>
      </c>
      <c r="D160" s="11" t="str">
        <f>IF($A160="","",'03_年度学习计划'!$G160)</f>
        <v/>
      </c>
      <c r="E160" s="11" t="str">
        <f>IF($A160="","",'03_年度学习计划'!$E160)</f>
        <v/>
      </c>
      <c r="F160" s="11" t="str">
        <f>IF($A160="","",'03_年度学习计划'!$L160)</f>
        <v/>
      </c>
      <c r="G160" s="12" t="str">
        <f>IF($A160="","",'03_年度学习计划'!$N160)</f>
        <v/>
      </c>
      <c r="H160" s="12" t="str">
        <f>IF($A160="","",'03_年度学习计划'!$O160)</f>
        <v/>
      </c>
      <c r="I160" s="12" t="str">
        <f>IF($A160="","",'03_年度学习计划'!$P160)</f>
        <v/>
      </c>
      <c r="J160" s="11" t="str">
        <f>IF($A160="","",'03_年度学习计划'!$Q160)</f>
        <v/>
      </c>
      <c r="K160" s="11" t="str">
        <f>IF($A160="","",'03_年度学习计划'!$S160)</f>
        <v/>
      </c>
      <c r="L160" s="13" t="str">
        <f t="shared" si="4"/>
        <v/>
      </c>
      <c r="M160" s="13"/>
      <c r="N160" s="13"/>
      <c r="O160" s="13"/>
      <c r="P160" s="14"/>
      <c r="Q160" s="14"/>
      <c r="R160" s="14"/>
      <c r="S160" s="14"/>
      <c r="T160" s="14"/>
    </row>
    <row r="161" spans="1:20" ht="13.9">
      <c r="A161" s="11" t="str">
        <f>IF('03_年度学习计划'!$A161="","",'03_年度学习计划'!$A161)</f>
        <v/>
      </c>
      <c r="B161" s="11" t="str">
        <f>IF($A161="","",'03_年度学习计划'!$D161)</f>
        <v/>
      </c>
      <c r="C161" s="11" t="str">
        <f>IF($A161="","",'03_年度学习计划'!$F161)</f>
        <v/>
      </c>
      <c r="D161" s="11" t="str">
        <f>IF($A161="","",'03_年度学习计划'!$G161)</f>
        <v/>
      </c>
      <c r="E161" s="11" t="str">
        <f>IF($A161="","",'03_年度学习计划'!$E161)</f>
        <v/>
      </c>
      <c r="F161" s="11" t="str">
        <f>IF($A161="","",'03_年度学习计划'!$L161)</f>
        <v/>
      </c>
      <c r="G161" s="12" t="str">
        <f>IF($A161="","",'03_年度学习计划'!$N161)</f>
        <v/>
      </c>
      <c r="H161" s="12" t="str">
        <f>IF($A161="","",'03_年度学习计划'!$O161)</f>
        <v/>
      </c>
      <c r="I161" s="12" t="str">
        <f>IF($A161="","",'03_年度学习计划'!$P161)</f>
        <v/>
      </c>
      <c r="J161" s="11" t="str">
        <f>IF($A161="","",'03_年度学习计划'!$Q161)</f>
        <v/>
      </c>
      <c r="K161" s="11" t="str">
        <f>IF($A161="","",'03_年度学习计划'!$S161)</f>
        <v/>
      </c>
      <c r="L161" s="13" t="str">
        <f t="shared" si="4"/>
        <v/>
      </c>
      <c r="M161" s="13"/>
      <c r="N161" s="13"/>
      <c r="O161" s="13"/>
      <c r="P161" s="14"/>
      <c r="Q161" s="14"/>
      <c r="R161" s="14"/>
      <c r="S161" s="14"/>
      <c r="T161" s="14"/>
    </row>
    <row r="162" spans="1:20" ht="13.9">
      <c r="A162" s="11" t="str">
        <f>IF('03_年度学习计划'!$A162="","",'03_年度学习计划'!$A162)</f>
        <v/>
      </c>
      <c r="B162" s="11" t="str">
        <f>IF($A162="","",'03_年度学习计划'!$D162)</f>
        <v/>
      </c>
      <c r="C162" s="11" t="str">
        <f>IF($A162="","",'03_年度学习计划'!$F162)</f>
        <v/>
      </c>
      <c r="D162" s="11" t="str">
        <f>IF($A162="","",'03_年度学习计划'!$G162)</f>
        <v/>
      </c>
      <c r="E162" s="11" t="str">
        <f>IF($A162="","",'03_年度学习计划'!$E162)</f>
        <v/>
      </c>
      <c r="F162" s="11" t="str">
        <f>IF($A162="","",'03_年度学习计划'!$L162)</f>
        <v/>
      </c>
      <c r="G162" s="12" t="str">
        <f>IF($A162="","",'03_年度学习计划'!$N162)</f>
        <v/>
      </c>
      <c r="H162" s="12" t="str">
        <f>IF($A162="","",'03_年度学习计划'!$O162)</f>
        <v/>
      </c>
      <c r="I162" s="12" t="str">
        <f>IF($A162="","",'03_年度学习计划'!$P162)</f>
        <v/>
      </c>
      <c r="J162" s="11" t="str">
        <f>IF($A162="","",'03_年度学习计划'!$Q162)</f>
        <v/>
      </c>
      <c r="K162" s="11" t="str">
        <f>IF($A162="","",'03_年度学习计划'!$S162)</f>
        <v/>
      </c>
      <c r="L162" s="13" t="str">
        <f t="shared" ref="L162:L193" si="5">IF($A162="","","未开始")</f>
        <v/>
      </c>
      <c r="M162" s="13"/>
      <c r="N162" s="13"/>
      <c r="O162" s="13"/>
      <c r="P162" s="14"/>
      <c r="Q162" s="14"/>
      <c r="R162" s="14"/>
      <c r="S162" s="14"/>
      <c r="T162" s="14"/>
    </row>
    <row r="163" spans="1:20" ht="13.9">
      <c r="A163" s="11" t="str">
        <f>IF('03_年度学习计划'!$A163="","",'03_年度学习计划'!$A163)</f>
        <v/>
      </c>
      <c r="B163" s="11" t="str">
        <f>IF($A163="","",'03_年度学习计划'!$D163)</f>
        <v/>
      </c>
      <c r="C163" s="11" t="str">
        <f>IF($A163="","",'03_年度学习计划'!$F163)</f>
        <v/>
      </c>
      <c r="D163" s="11" t="str">
        <f>IF($A163="","",'03_年度学习计划'!$G163)</f>
        <v/>
      </c>
      <c r="E163" s="11" t="str">
        <f>IF($A163="","",'03_年度学习计划'!$E163)</f>
        <v/>
      </c>
      <c r="F163" s="11" t="str">
        <f>IF($A163="","",'03_年度学习计划'!$L163)</f>
        <v/>
      </c>
      <c r="G163" s="12" t="str">
        <f>IF($A163="","",'03_年度学习计划'!$N163)</f>
        <v/>
      </c>
      <c r="H163" s="12" t="str">
        <f>IF($A163="","",'03_年度学习计划'!$O163)</f>
        <v/>
      </c>
      <c r="I163" s="12" t="str">
        <f>IF($A163="","",'03_年度学习计划'!$P163)</f>
        <v/>
      </c>
      <c r="J163" s="11" t="str">
        <f>IF($A163="","",'03_年度学习计划'!$Q163)</f>
        <v/>
      </c>
      <c r="K163" s="11" t="str">
        <f>IF($A163="","",'03_年度学习计划'!$S163)</f>
        <v/>
      </c>
      <c r="L163" s="13" t="str">
        <f t="shared" si="5"/>
        <v/>
      </c>
      <c r="M163" s="13"/>
      <c r="N163" s="13"/>
      <c r="O163" s="13"/>
      <c r="P163" s="14"/>
      <c r="Q163" s="14"/>
      <c r="R163" s="14"/>
      <c r="S163" s="14"/>
      <c r="T163" s="14"/>
    </row>
    <row r="164" spans="1:20" ht="13.9">
      <c r="A164" s="11" t="str">
        <f>IF('03_年度学习计划'!$A164="","",'03_年度学习计划'!$A164)</f>
        <v/>
      </c>
      <c r="B164" s="11" t="str">
        <f>IF($A164="","",'03_年度学习计划'!$D164)</f>
        <v/>
      </c>
      <c r="C164" s="11" t="str">
        <f>IF($A164="","",'03_年度学习计划'!$F164)</f>
        <v/>
      </c>
      <c r="D164" s="11" t="str">
        <f>IF($A164="","",'03_年度学习计划'!$G164)</f>
        <v/>
      </c>
      <c r="E164" s="11" t="str">
        <f>IF($A164="","",'03_年度学习计划'!$E164)</f>
        <v/>
      </c>
      <c r="F164" s="11" t="str">
        <f>IF($A164="","",'03_年度学习计划'!$L164)</f>
        <v/>
      </c>
      <c r="G164" s="12" t="str">
        <f>IF($A164="","",'03_年度学习计划'!$N164)</f>
        <v/>
      </c>
      <c r="H164" s="12" t="str">
        <f>IF($A164="","",'03_年度学习计划'!$O164)</f>
        <v/>
      </c>
      <c r="I164" s="12" t="str">
        <f>IF($A164="","",'03_年度学习计划'!$P164)</f>
        <v/>
      </c>
      <c r="J164" s="11" t="str">
        <f>IF($A164="","",'03_年度学习计划'!$Q164)</f>
        <v/>
      </c>
      <c r="K164" s="11" t="str">
        <f>IF($A164="","",'03_年度学习计划'!$S164)</f>
        <v/>
      </c>
      <c r="L164" s="13" t="str">
        <f t="shared" si="5"/>
        <v/>
      </c>
      <c r="M164" s="13"/>
      <c r="N164" s="13"/>
      <c r="O164" s="13"/>
      <c r="P164" s="14"/>
      <c r="Q164" s="14"/>
      <c r="R164" s="14"/>
      <c r="S164" s="14"/>
      <c r="T164" s="14"/>
    </row>
    <row r="165" spans="1:20" ht="13.9">
      <c r="A165" s="11" t="str">
        <f>IF('03_年度学习计划'!$A165="","",'03_年度学习计划'!$A165)</f>
        <v/>
      </c>
      <c r="B165" s="11" t="str">
        <f>IF($A165="","",'03_年度学习计划'!$D165)</f>
        <v/>
      </c>
      <c r="C165" s="11" t="str">
        <f>IF($A165="","",'03_年度学习计划'!$F165)</f>
        <v/>
      </c>
      <c r="D165" s="11" t="str">
        <f>IF($A165="","",'03_年度学习计划'!$G165)</f>
        <v/>
      </c>
      <c r="E165" s="11" t="str">
        <f>IF($A165="","",'03_年度学习计划'!$E165)</f>
        <v/>
      </c>
      <c r="F165" s="11" t="str">
        <f>IF($A165="","",'03_年度学习计划'!$L165)</f>
        <v/>
      </c>
      <c r="G165" s="12" t="str">
        <f>IF($A165="","",'03_年度学习计划'!$N165)</f>
        <v/>
      </c>
      <c r="H165" s="12" t="str">
        <f>IF($A165="","",'03_年度学习计划'!$O165)</f>
        <v/>
      </c>
      <c r="I165" s="12" t="str">
        <f>IF($A165="","",'03_年度学习计划'!$P165)</f>
        <v/>
      </c>
      <c r="J165" s="11" t="str">
        <f>IF($A165="","",'03_年度学习计划'!$Q165)</f>
        <v/>
      </c>
      <c r="K165" s="11" t="str">
        <f>IF($A165="","",'03_年度学习计划'!$S165)</f>
        <v/>
      </c>
      <c r="L165" s="13" t="str">
        <f t="shared" si="5"/>
        <v/>
      </c>
      <c r="M165" s="13"/>
      <c r="N165" s="13"/>
      <c r="O165" s="13"/>
      <c r="P165" s="14"/>
      <c r="Q165" s="14"/>
      <c r="R165" s="14"/>
      <c r="S165" s="14"/>
      <c r="T165" s="14"/>
    </row>
    <row r="166" spans="1:20" ht="13.9">
      <c r="A166" s="11" t="str">
        <f>IF('03_年度学习计划'!$A166="","",'03_年度学习计划'!$A166)</f>
        <v/>
      </c>
      <c r="B166" s="11" t="str">
        <f>IF($A166="","",'03_年度学习计划'!$D166)</f>
        <v/>
      </c>
      <c r="C166" s="11" t="str">
        <f>IF($A166="","",'03_年度学习计划'!$F166)</f>
        <v/>
      </c>
      <c r="D166" s="11" t="str">
        <f>IF($A166="","",'03_年度学习计划'!$G166)</f>
        <v/>
      </c>
      <c r="E166" s="11" t="str">
        <f>IF($A166="","",'03_年度学习计划'!$E166)</f>
        <v/>
      </c>
      <c r="F166" s="11" t="str">
        <f>IF($A166="","",'03_年度学习计划'!$L166)</f>
        <v/>
      </c>
      <c r="G166" s="12" t="str">
        <f>IF($A166="","",'03_年度学习计划'!$N166)</f>
        <v/>
      </c>
      <c r="H166" s="12" t="str">
        <f>IF($A166="","",'03_年度学习计划'!$O166)</f>
        <v/>
      </c>
      <c r="I166" s="12" t="str">
        <f>IF($A166="","",'03_年度学习计划'!$P166)</f>
        <v/>
      </c>
      <c r="J166" s="11" t="str">
        <f>IF($A166="","",'03_年度学习计划'!$Q166)</f>
        <v/>
      </c>
      <c r="K166" s="11" t="str">
        <f>IF($A166="","",'03_年度学习计划'!$S166)</f>
        <v/>
      </c>
      <c r="L166" s="13" t="str">
        <f t="shared" si="5"/>
        <v/>
      </c>
      <c r="M166" s="13"/>
      <c r="N166" s="13"/>
      <c r="O166" s="13"/>
      <c r="P166" s="14"/>
      <c r="Q166" s="14"/>
      <c r="R166" s="14"/>
      <c r="S166" s="14"/>
      <c r="T166" s="14"/>
    </row>
    <row r="167" spans="1:20" ht="13.9">
      <c r="A167" s="11" t="str">
        <f>IF('03_年度学习计划'!$A167="","",'03_年度学习计划'!$A167)</f>
        <v/>
      </c>
      <c r="B167" s="11" t="str">
        <f>IF($A167="","",'03_年度学习计划'!$D167)</f>
        <v/>
      </c>
      <c r="C167" s="11" t="str">
        <f>IF($A167="","",'03_年度学习计划'!$F167)</f>
        <v/>
      </c>
      <c r="D167" s="11" t="str">
        <f>IF($A167="","",'03_年度学习计划'!$G167)</f>
        <v/>
      </c>
      <c r="E167" s="11" t="str">
        <f>IF($A167="","",'03_年度学习计划'!$E167)</f>
        <v/>
      </c>
      <c r="F167" s="11" t="str">
        <f>IF($A167="","",'03_年度学习计划'!$L167)</f>
        <v/>
      </c>
      <c r="G167" s="12" t="str">
        <f>IF($A167="","",'03_年度学习计划'!$N167)</f>
        <v/>
      </c>
      <c r="H167" s="12" t="str">
        <f>IF($A167="","",'03_年度学习计划'!$O167)</f>
        <v/>
      </c>
      <c r="I167" s="12" t="str">
        <f>IF($A167="","",'03_年度学习计划'!$P167)</f>
        <v/>
      </c>
      <c r="J167" s="11" t="str">
        <f>IF($A167="","",'03_年度学习计划'!$Q167)</f>
        <v/>
      </c>
      <c r="K167" s="11" t="str">
        <f>IF($A167="","",'03_年度学习计划'!$S167)</f>
        <v/>
      </c>
      <c r="L167" s="13" t="str">
        <f t="shared" si="5"/>
        <v/>
      </c>
      <c r="M167" s="13"/>
      <c r="N167" s="13"/>
      <c r="O167" s="13"/>
      <c r="P167" s="14"/>
      <c r="Q167" s="14"/>
      <c r="R167" s="14"/>
      <c r="S167" s="14"/>
      <c r="T167" s="14"/>
    </row>
    <row r="168" spans="1:20" ht="13.9">
      <c r="A168" s="11" t="str">
        <f>IF('03_年度学习计划'!$A168="","",'03_年度学习计划'!$A168)</f>
        <v/>
      </c>
      <c r="B168" s="11" t="str">
        <f>IF($A168="","",'03_年度学习计划'!$D168)</f>
        <v/>
      </c>
      <c r="C168" s="11" t="str">
        <f>IF($A168="","",'03_年度学习计划'!$F168)</f>
        <v/>
      </c>
      <c r="D168" s="11" t="str">
        <f>IF($A168="","",'03_年度学习计划'!$G168)</f>
        <v/>
      </c>
      <c r="E168" s="11" t="str">
        <f>IF($A168="","",'03_年度学习计划'!$E168)</f>
        <v/>
      </c>
      <c r="F168" s="11" t="str">
        <f>IF($A168="","",'03_年度学习计划'!$L168)</f>
        <v/>
      </c>
      <c r="G168" s="12" t="str">
        <f>IF($A168="","",'03_年度学习计划'!$N168)</f>
        <v/>
      </c>
      <c r="H168" s="12" t="str">
        <f>IF($A168="","",'03_年度学习计划'!$O168)</f>
        <v/>
      </c>
      <c r="I168" s="12" t="str">
        <f>IF($A168="","",'03_年度学习计划'!$P168)</f>
        <v/>
      </c>
      <c r="J168" s="11" t="str">
        <f>IF($A168="","",'03_年度学习计划'!$Q168)</f>
        <v/>
      </c>
      <c r="K168" s="11" t="str">
        <f>IF($A168="","",'03_年度学习计划'!$S168)</f>
        <v/>
      </c>
      <c r="L168" s="13" t="str">
        <f t="shared" si="5"/>
        <v/>
      </c>
      <c r="M168" s="13"/>
      <c r="N168" s="13"/>
      <c r="O168" s="13"/>
      <c r="P168" s="14"/>
      <c r="Q168" s="14"/>
      <c r="R168" s="14"/>
      <c r="S168" s="14"/>
      <c r="T168" s="14"/>
    </row>
    <row r="169" spans="1:20" ht="13.9">
      <c r="A169" s="11" t="str">
        <f>IF('03_年度学习计划'!$A169="","",'03_年度学习计划'!$A169)</f>
        <v/>
      </c>
      <c r="B169" s="11" t="str">
        <f>IF($A169="","",'03_年度学习计划'!$D169)</f>
        <v/>
      </c>
      <c r="C169" s="11" t="str">
        <f>IF($A169="","",'03_年度学习计划'!$F169)</f>
        <v/>
      </c>
      <c r="D169" s="11" t="str">
        <f>IF($A169="","",'03_年度学习计划'!$G169)</f>
        <v/>
      </c>
      <c r="E169" s="11" t="str">
        <f>IF($A169="","",'03_年度学习计划'!$E169)</f>
        <v/>
      </c>
      <c r="F169" s="11" t="str">
        <f>IF($A169="","",'03_年度学习计划'!$L169)</f>
        <v/>
      </c>
      <c r="G169" s="12" t="str">
        <f>IF($A169="","",'03_年度学习计划'!$N169)</f>
        <v/>
      </c>
      <c r="H169" s="12" t="str">
        <f>IF($A169="","",'03_年度学习计划'!$O169)</f>
        <v/>
      </c>
      <c r="I169" s="12" t="str">
        <f>IF($A169="","",'03_年度学习计划'!$P169)</f>
        <v/>
      </c>
      <c r="J169" s="11" t="str">
        <f>IF($A169="","",'03_年度学习计划'!$Q169)</f>
        <v/>
      </c>
      <c r="K169" s="11" t="str">
        <f>IF($A169="","",'03_年度学习计划'!$S169)</f>
        <v/>
      </c>
      <c r="L169" s="13" t="str">
        <f t="shared" si="5"/>
        <v/>
      </c>
      <c r="M169" s="13"/>
      <c r="N169" s="13"/>
      <c r="O169" s="13"/>
      <c r="P169" s="14"/>
      <c r="Q169" s="14"/>
      <c r="R169" s="14"/>
      <c r="S169" s="14"/>
      <c r="T169" s="14"/>
    </row>
    <row r="170" spans="1:20" ht="13.9">
      <c r="A170" s="11" t="str">
        <f>IF('03_年度学习计划'!$A170="","",'03_年度学习计划'!$A170)</f>
        <v/>
      </c>
      <c r="B170" s="11" t="str">
        <f>IF($A170="","",'03_年度学习计划'!$D170)</f>
        <v/>
      </c>
      <c r="C170" s="11" t="str">
        <f>IF($A170="","",'03_年度学习计划'!$F170)</f>
        <v/>
      </c>
      <c r="D170" s="11" t="str">
        <f>IF($A170="","",'03_年度学习计划'!$G170)</f>
        <v/>
      </c>
      <c r="E170" s="11" t="str">
        <f>IF($A170="","",'03_年度学习计划'!$E170)</f>
        <v/>
      </c>
      <c r="F170" s="11" t="str">
        <f>IF($A170="","",'03_年度学习计划'!$L170)</f>
        <v/>
      </c>
      <c r="G170" s="12" t="str">
        <f>IF($A170="","",'03_年度学习计划'!$N170)</f>
        <v/>
      </c>
      <c r="H170" s="12" t="str">
        <f>IF($A170="","",'03_年度学习计划'!$O170)</f>
        <v/>
      </c>
      <c r="I170" s="12" t="str">
        <f>IF($A170="","",'03_年度学习计划'!$P170)</f>
        <v/>
      </c>
      <c r="J170" s="11" t="str">
        <f>IF($A170="","",'03_年度学习计划'!$Q170)</f>
        <v/>
      </c>
      <c r="K170" s="11" t="str">
        <f>IF($A170="","",'03_年度学习计划'!$S170)</f>
        <v/>
      </c>
      <c r="L170" s="13" t="str">
        <f t="shared" si="5"/>
        <v/>
      </c>
      <c r="M170" s="13"/>
      <c r="N170" s="13"/>
      <c r="O170" s="13"/>
      <c r="P170" s="14"/>
      <c r="Q170" s="14"/>
      <c r="R170" s="14"/>
      <c r="S170" s="14"/>
      <c r="T170" s="14"/>
    </row>
    <row r="171" spans="1:20" ht="13.9">
      <c r="A171" s="11" t="str">
        <f>IF('03_年度学习计划'!$A171="","",'03_年度学习计划'!$A171)</f>
        <v/>
      </c>
      <c r="B171" s="11" t="str">
        <f>IF($A171="","",'03_年度学习计划'!$D171)</f>
        <v/>
      </c>
      <c r="C171" s="11" t="str">
        <f>IF($A171="","",'03_年度学习计划'!$F171)</f>
        <v/>
      </c>
      <c r="D171" s="11" t="str">
        <f>IF($A171="","",'03_年度学习计划'!$G171)</f>
        <v/>
      </c>
      <c r="E171" s="11" t="str">
        <f>IF($A171="","",'03_年度学习计划'!$E171)</f>
        <v/>
      </c>
      <c r="F171" s="11" t="str">
        <f>IF($A171="","",'03_年度学习计划'!$L171)</f>
        <v/>
      </c>
      <c r="G171" s="12" t="str">
        <f>IF($A171="","",'03_年度学习计划'!$N171)</f>
        <v/>
      </c>
      <c r="H171" s="12" t="str">
        <f>IF($A171="","",'03_年度学习计划'!$O171)</f>
        <v/>
      </c>
      <c r="I171" s="12" t="str">
        <f>IF($A171="","",'03_年度学习计划'!$P171)</f>
        <v/>
      </c>
      <c r="J171" s="11" t="str">
        <f>IF($A171="","",'03_年度学习计划'!$Q171)</f>
        <v/>
      </c>
      <c r="K171" s="11" t="str">
        <f>IF($A171="","",'03_年度学习计划'!$S171)</f>
        <v/>
      </c>
      <c r="L171" s="13" t="str">
        <f t="shared" si="5"/>
        <v/>
      </c>
      <c r="M171" s="13"/>
      <c r="N171" s="13"/>
      <c r="O171" s="13"/>
      <c r="P171" s="14"/>
      <c r="Q171" s="14"/>
      <c r="R171" s="14"/>
      <c r="S171" s="14"/>
      <c r="T171" s="14"/>
    </row>
    <row r="172" spans="1:20" ht="13.9">
      <c r="A172" s="11" t="str">
        <f>IF('03_年度学习计划'!$A172="","",'03_年度学习计划'!$A172)</f>
        <v/>
      </c>
      <c r="B172" s="11" t="str">
        <f>IF($A172="","",'03_年度学习计划'!$D172)</f>
        <v/>
      </c>
      <c r="C172" s="11" t="str">
        <f>IF($A172="","",'03_年度学习计划'!$F172)</f>
        <v/>
      </c>
      <c r="D172" s="11" t="str">
        <f>IF($A172="","",'03_年度学习计划'!$G172)</f>
        <v/>
      </c>
      <c r="E172" s="11" t="str">
        <f>IF($A172="","",'03_年度学习计划'!$E172)</f>
        <v/>
      </c>
      <c r="F172" s="11" t="str">
        <f>IF($A172="","",'03_年度学习计划'!$L172)</f>
        <v/>
      </c>
      <c r="G172" s="12" t="str">
        <f>IF($A172="","",'03_年度学习计划'!$N172)</f>
        <v/>
      </c>
      <c r="H172" s="12" t="str">
        <f>IF($A172="","",'03_年度学习计划'!$O172)</f>
        <v/>
      </c>
      <c r="I172" s="12" t="str">
        <f>IF($A172="","",'03_年度学习计划'!$P172)</f>
        <v/>
      </c>
      <c r="J172" s="11" t="str">
        <f>IF($A172="","",'03_年度学习计划'!$Q172)</f>
        <v/>
      </c>
      <c r="K172" s="11" t="str">
        <f>IF($A172="","",'03_年度学习计划'!$S172)</f>
        <v/>
      </c>
      <c r="L172" s="13" t="str">
        <f t="shared" si="5"/>
        <v/>
      </c>
      <c r="M172" s="13"/>
      <c r="N172" s="13"/>
      <c r="O172" s="13"/>
      <c r="P172" s="14"/>
      <c r="Q172" s="14"/>
      <c r="R172" s="14"/>
      <c r="S172" s="14"/>
      <c r="T172" s="14"/>
    </row>
    <row r="173" spans="1:20" ht="13.9">
      <c r="A173" s="11" t="str">
        <f>IF('03_年度学习计划'!$A173="","",'03_年度学习计划'!$A173)</f>
        <v/>
      </c>
      <c r="B173" s="11" t="str">
        <f>IF($A173="","",'03_年度学习计划'!$D173)</f>
        <v/>
      </c>
      <c r="C173" s="11" t="str">
        <f>IF($A173="","",'03_年度学习计划'!$F173)</f>
        <v/>
      </c>
      <c r="D173" s="11" t="str">
        <f>IF($A173="","",'03_年度学习计划'!$G173)</f>
        <v/>
      </c>
      <c r="E173" s="11" t="str">
        <f>IF($A173="","",'03_年度学习计划'!$E173)</f>
        <v/>
      </c>
      <c r="F173" s="11" t="str">
        <f>IF($A173="","",'03_年度学习计划'!$L173)</f>
        <v/>
      </c>
      <c r="G173" s="12" t="str">
        <f>IF($A173="","",'03_年度学习计划'!$N173)</f>
        <v/>
      </c>
      <c r="H173" s="12" t="str">
        <f>IF($A173="","",'03_年度学习计划'!$O173)</f>
        <v/>
      </c>
      <c r="I173" s="12" t="str">
        <f>IF($A173="","",'03_年度学习计划'!$P173)</f>
        <v/>
      </c>
      <c r="J173" s="11" t="str">
        <f>IF($A173="","",'03_年度学习计划'!$Q173)</f>
        <v/>
      </c>
      <c r="K173" s="11" t="str">
        <f>IF($A173="","",'03_年度学习计划'!$S173)</f>
        <v/>
      </c>
      <c r="L173" s="13" t="str">
        <f t="shared" si="5"/>
        <v/>
      </c>
      <c r="M173" s="13"/>
      <c r="N173" s="13"/>
      <c r="O173" s="13"/>
      <c r="P173" s="14"/>
      <c r="Q173" s="14"/>
      <c r="R173" s="14"/>
      <c r="S173" s="14"/>
      <c r="T173" s="14"/>
    </row>
    <row r="174" spans="1:20" ht="13.9">
      <c r="A174" s="11" t="str">
        <f>IF('03_年度学习计划'!$A174="","",'03_年度学习计划'!$A174)</f>
        <v/>
      </c>
      <c r="B174" s="11" t="str">
        <f>IF($A174="","",'03_年度学习计划'!$D174)</f>
        <v/>
      </c>
      <c r="C174" s="11" t="str">
        <f>IF($A174="","",'03_年度学习计划'!$F174)</f>
        <v/>
      </c>
      <c r="D174" s="11" t="str">
        <f>IF($A174="","",'03_年度学习计划'!$G174)</f>
        <v/>
      </c>
      <c r="E174" s="11" t="str">
        <f>IF($A174="","",'03_年度学习计划'!$E174)</f>
        <v/>
      </c>
      <c r="F174" s="11" t="str">
        <f>IF($A174="","",'03_年度学习计划'!$L174)</f>
        <v/>
      </c>
      <c r="G174" s="12" t="str">
        <f>IF($A174="","",'03_年度学习计划'!$N174)</f>
        <v/>
      </c>
      <c r="H174" s="12" t="str">
        <f>IF($A174="","",'03_年度学习计划'!$O174)</f>
        <v/>
      </c>
      <c r="I174" s="12" t="str">
        <f>IF($A174="","",'03_年度学习计划'!$P174)</f>
        <v/>
      </c>
      <c r="J174" s="11" t="str">
        <f>IF($A174="","",'03_年度学习计划'!$Q174)</f>
        <v/>
      </c>
      <c r="K174" s="11" t="str">
        <f>IF($A174="","",'03_年度学习计划'!$S174)</f>
        <v/>
      </c>
      <c r="L174" s="13" t="str">
        <f t="shared" si="5"/>
        <v/>
      </c>
      <c r="M174" s="13"/>
      <c r="N174" s="13"/>
      <c r="O174" s="13"/>
      <c r="P174" s="14"/>
      <c r="Q174" s="14"/>
      <c r="R174" s="14"/>
      <c r="S174" s="14"/>
      <c r="T174" s="14"/>
    </row>
    <row r="175" spans="1:20" ht="13.9">
      <c r="A175" s="11" t="str">
        <f>IF('03_年度学习计划'!$A175="","",'03_年度学习计划'!$A175)</f>
        <v/>
      </c>
      <c r="B175" s="11" t="str">
        <f>IF($A175="","",'03_年度学习计划'!$D175)</f>
        <v/>
      </c>
      <c r="C175" s="11" t="str">
        <f>IF($A175="","",'03_年度学习计划'!$F175)</f>
        <v/>
      </c>
      <c r="D175" s="11" t="str">
        <f>IF($A175="","",'03_年度学习计划'!$G175)</f>
        <v/>
      </c>
      <c r="E175" s="11" t="str">
        <f>IF($A175="","",'03_年度学习计划'!$E175)</f>
        <v/>
      </c>
      <c r="F175" s="11" t="str">
        <f>IF($A175="","",'03_年度学习计划'!$L175)</f>
        <v/>
      </c>
      <c r="G175" s="12" t="str">
        <f>IF($A175="","",'03_年度学习计划'!$N175)</f>
        <v/>
      </c>
      <c r="H175" s="12" t="str">
        <f>IF($A175="","",'03_年度学习计划'!$O175)</f>
        <v/>
      </c>
      <c r="I175" s="12" t="str">
        <f>IF($A175="","",'03_年度学习计划'!$P175)</f>
        <v/>
      </c>
      <c r="J175" s="11" t="str">
        <f>IF($A175="","",'03_年度学习计划'!$Q175)</f>
        <v/>
      </c>
      <c r="K175" s="11" t="str">
        <f>IF($A175="","",'03_年度学习计划'!$S175)</f>
        <v/>
      </c>
      <c r="L175" s="13" t="str">
        <f t="shared" si="5"/>
        <v/>
      </c>
      <c r="M175" s="13"/>
      <c r="N175" s="13"/>
      <c r="O175" s="13"/>
      <c r="P175" s="14"/>
      <c r="Q175" s="14"/>
      <c r="R175" s="14"/>
      <c r="S175" s="14"/>
      <c r="T175" s="14"/>
    </row>
    <row r="176" spans="1:20" ht="13.9">
      <c r="A176" s="11" t="str">
        <f>IF('03_年度学习计划'!$A176="","",'03_年度学习计划'!$A176)</f>
        <v/>
      </c>
      <c r="B176" s="11" t="str">
        <f>IF($A176="","",'03_年度学习计划'!$D176)</f>
        <v/>
      </c>
      <c r="C176" s="11" t="str">
        <f>IF($A176="","",'03_年度学习计划'!$F176)</f>
        <v/>
      </c>
      <c r="D176" s="11" t="str">
        <f>IF($A176="","",'03_年度学习计划'!$G176)</f>
        <v/>
      </c>
      <c r="E176" s="11" t="str">
        <f>IF($A176="","",'03_年度学习计划'!$E176)</f>
        <v/>
      </c>
      <c r="F176" s="11" t="str">
        <f>IF($A176="","",'03_年度学习计划'!$L176)</f>
        <v/>
      </c>
      <c r="G176" s="12" t="str">
        <f>IF($A176="","",'03_年度学习计划'!$N176)</f>
        <v/>
      </c>
      <c r="H176" s="12" t="str">
        <f>IF($A176="","",'03_年度学习计划'!$O176)</f>
        <v/>
      </c>
      <c r="I176" s="12" t="str">
        <f>IF($A176="","",'03_年度学习计划'!$P176)</f>
        <v/>
      </c>
      <c r="J176" s="11" t="str">
        <f>IF($A176="","",'03_年度学习计划'!$Q176)</f>
        <v/>
      </c>
      <c r="K176" s="11" t="str">
        <f>IF($A176="","",'03_年度学习计划'!$S176)</f>
        <v/>
      </c>
      <c r="L176" s="13" t="str">
        <f t="shared" si="5"/>
        <v/>
      </c>
      <c r="M176" s="13"/>
      <c r="N176" s="13"/>
      <c r="O176" s="13"/>
      <c r="P176" s="14"/>
      <c r="Q176" s="14"/>
      <c r="R176" s="14"/>
      <c r="S176" s="14"/>
      <c r="T176" s="14"/>
    </row>
    <row r="177" spans="1:20" ht="13.9">
      <c r="A177" s="11" t="str">
        <f>IF('03_年度学习计划'!$A177="","",'03_年度学习计划'!$A177)</f>
        <v/>
      </c>
      <c r="B177" s="11" t="str">
        <f>IF($A177="","",'03_年度学习计划'!$D177)</f>
        <v/>
      </c>
      <c r="C177" s="11" t="str">
        <f>IF($A177="","",'03_年度学习计划'!$F177)</f>
        <v/>
      </c>
      <c r="D177" s="11" t="str">
        <f>IF($A177="","",'03_年度学习计划'!$G177)</f>
        <v/>
      </c>
      <c r="E177" s="11" t="str">
        <f>IF($A177="","",'03_年度学习计划'!$E177)</f>
        <v/>
      </c>
      <c r="F177" s="11" t="str">
        <f>IF($A177="","",'03_年度学习计划'!$L177)</f>
        <v/>
      </c>
      <c r="G177" s="12" t="str">
        <f>IF($A177="","",'03_年度学习计划'!$N177)</f>
        <v/>
      </c>
      <c r="H177" s="12" t="str">
        <f>IF($A177="","",'03_年度学习计划'!$O177)</f>
        <v/>
      </c>
      <c r="I177" s="12" t="str">
        <f>IF($A177="","",'03_年度学习计划'!$P177)</f>
        <v/>
      </c>
      <c r="J177" s="11" t="str">
        <f>IF($A177="","",'03_年度学习计划'!$Q177)</f>
        <v/>
      </c>
      <c r="K177" s="11" t="str">
        <f>IF($A177="","",'03_年度学习计划'!$S177)</f>
        <v/>
      </c>
      <c r="L177" s="13" t="str">
        <f t="shared" si="5"/>
        <v/>
      </c>
      <c r="M177" s="13"/>
      <c r="N177" s="13"/>
      <c r="O177" s="13"/>
      <c r="P177" s="14"/>
      <c r="Q177" s="14"/>
      <c r="R177" s="14"/>
      <c r="S177" s="14"/>
      <c r="T177" s="14"/>
    </row>
    <row r="178" spans="1:20" ht="13.9">
      <c r="A178" s="11" t="str">
        <f>IF('03_年度学习计划'!$A178="","",'03_年度学习计划'!$A178)</f>
        <v/>
      </c>
      <c r="B178" s="11" t="str">
        <f>IF($A178="","",'03_年度学习计划'!$D178)</f>
        <v/>
      </c>
      <c r="C178" s="11" t="str">
        <f>IF($A178="","",'03_年度学习计划'!$F178)</f>
        <v/>
      </c>
      <c r="D178" s="11" t="str">
        <f>IF($A178="","",'03_年度学习计划'!$G178)</f>
        <v/>
      </c>
      <c r="E178" s="11" t="str">
        <f>IF($A178="","",'03_年度学习计划'!$E178)</f>
        <v/>
      </c>
      <c r="F178" s="11" t="str">
        <f>IF($A178="","",'03_年度学习计划'!$L178)</f>
        <v/>
      </c>
      <c r="G178" s="12" t="str">
        <f>IF($A178="","",'03_年度学习计划'!$N178)</f>
        <v/>
      </c>
      <c r="H178" s="12" t="str">
        <f>IF($A178="","",'03_年度学习计划'!$O178)</f>
        <v/>
      </c>
      <c r="I178" s="12" t="str">
        <f>IF($A178="","",'03_年度学习计划'!$P178)</f>
        <v/>
      </c>
      <c r="J178" s="11" t="str">
        <f>IF($A178="","",'03_年度学习计划'!$Q178)</f>
        <v/>
      </c>
      <c r="K178" s="11" t="str">
        <f>IF($A178="","",'03_年度学习计划'!$S178)</f>
        <v/>
      </c>
      <c r="L178" s="13" t="str">
        <f t="shared" si="5"/>
        <v/>
      </c>
      <c r="M178" s="13"/>
      <c r="N178" s="13"/>
      <c r="O178" s="13"/>
      <c r="P178" s="14"/>
      <c r="Q178" s="14"/>
      <c r="R178" s="14"/>
      <c r="S178" s="14"/>
      <c r="T178" s="14"/>
    </row>
    <row r="179" spans="1:20" ht="13.9">
      <c r="A179" s="11" t="str">
        <f>IF('03_年度学习计划'!$A179="","",'03_年度学习计划'!$A179)</f>
        <v/>
      </c>
      <c r="B179" s="11" t="str">
        <f>IF($A179="","",'03_年度学习计划'!$D179)</f>
        <v/>
      </c>
      <c r="C179" s="11" t="str">
        <f>IF($A179="","",'03_年度学习计划'!$F179)</f>
        <v/>
      </c>
      <c r="D179" s="11" t="str">
        <f>IF($A179="","",'03_年度学习计划'!$G179)</f>
        <v/>
      </c>
      <c r="E179" s="11" t="str">
        <f>IF($A179="","",'03_年度学习计划'!$E179)</f>
        <v/>
      </c>
      <c r="F179" s="11" t="str">
        <f>IF($A179="","",'03_年度学习计划'!$L179)</f>
        <v/>
      </c>
      <c r="G179" s="12" t="str">
        <f>IF($A179="","",'03_年度学习计划'!$N179)</f>
        <v/>
      </c>
      <c r="H179" s="12" t="str">
        <f>IF($A179="","",'03_年度学习计划'!$O179)</f>
        <v/>
      </c>
      <c r="I179" s="12" t="str">
        <f>IF($A179="","",'03_年度学习计划'!$P179)</f>
        <v/>
      </c>
      <c r="J179" s="11" t="str">
        <f>IF($A179="","",'03_年度学习计划'!$Q179)</f>
        <v/>
      </c>
      <c r="K179" s="11" t="str">
        <f>IF($A179="","",'03_年度学习计划'!$S179)</f>
        <v/>
      </c>
      <c r="L179" s="13" t="str">
        <f t="shared" si="5"/>
        <v/>
      </c>
      <c r="M179" s="13"/>
      <c r="N179" s="13"/>
      <c r="O179" s="13"/>
      <c r="P179" s="14"/>
      <c r="Q179" s="14"/>
      <c r="R179" s="14"/>
      <c r="S179" s="14"/>
      <c r="T179" s="14"/>
    </row>
    <row r="180" spans="1:20" ht="13.9">
      <c r="A180" s="11" t="str">
        <f>IF('03_年度学习计划'!$A180="","",'03_年度学习计划'!$A180)</f>
        <v/>
      </c>
      <c r="B180" s="11" t="str">
        <f>IF($A180="","",'03_年度学习计划'!$D180)</f>
        <v/>
      </c>
      <c r="C180" s="11" t="str">
        <f>IF($A180="","",'03_年度学习计划'!$F180)</f>
        <v/>
      </c>
      <c r="D180" s="11" t="str">
        <f>IF($A180="","",'03_年度学习计划'!$G180)</f>
        <v/>
      </c>
      <c r="E180" s="11" t="str">
        <f>IF($A180="","",'03_年度学习计划'!$E180)</f>
        <v/>
      </c>
      <c r="F180" s="11" t="str">
        <f>IF($A180="","",'03_年度学习计划'!$L180)</f>
        <v/>
      </c>
      <c r="G180" s="12" t="str">
        <f>IF($A180="","",'03_年度学习计划'!$N180)</f>
        <v/>
      </c>
      <c r="H180" s="12" t="str">
        <f>IF($A180="","",'03_年度学习计划'!$O180)</f>
        <v/>
      </c>
      <c r="I180" s="12" t="str">
        <f>IF($A180="","",'03_年度学习计划'!$P180)</f>
        <v/>
      </c>
      <c r="J180" s="11" t="str">
        <f>IF($A180="","",'03_年度学习计划'!$Q180)</f>
        <v/>
      </c>
      <c r="K180" s="11" t="str">
        <f>IF($A180="","",'03_年度学习计划'!$S180)</f>
        <v/>
      </c>
      <c r="L180" s="13" t="str">
        <f t="shared" si="5"/>
        <v/>
      </c>
      <c r="M180" s="13"/>
      <c r="N180" s="13"/>
      <c r="O180" s="13"/>
      <c r="P180" s="14"/>
      <c r="Q180" s="14"/>
      <c r="R180" s="14"/>
      <c r="S180" s="14"/>
      <c r="T180" s="14"/>
    </row>
    <row r="181" spans="1:20" ht="13.9">
      <c r="A181" s="11" t="str">
        <f>IF('03_年度学习计划'!$A181="","",'03_年度学习计划'!$A181)</f>
        <v/>
      </c>
      <c r="B181" s="11" t="str">
        <f>IF($A181="","",'03_年度学习计划'!$D181)</f>
        <v/>
      </c>
      <c r="C181" s="11" t="str">
        <f>IF($A181="","",'03_年度学习计划'!$F181)</f>
        <v/>
      </c>
      <c r="D181" s="11" t="str">
        <f>IF($A181="","",'03_年度学习计划'!$G181)</f>
        <v/>
      </c>
      <c r="E181" s="11" t="str">
        <f>IF($A181="","",'03_年度学习计划'!$E181)</f>
        <v/>
      </c>
      <c r="F181" s="11" t="str">
        <f>IF($A181="","",'03_年度学习计划'!$L181)</f>
        <v/>
      </c>
      <c r="G181" s="12" t="str">
        <f>IF($A181="","",'03_年度学习计划'!$N181)</f>
        <v/>
      </c>
      <c r="H181" s="12" t="str">
        <f>IF($A181="","",'03_年度学习计划'!$O181)</f>
        <v/>
      </c>
      <c r="I181" s="12" t="str">
        <f>IF($A181="","",'03_年度学习计划'!$P181)</f>
        <v/>
      </c>
      <c r="J181" s="11" t="str">
        <f>IF($A181="","",'03_年度学习计划'!$Q181)</f>
        <v/>
      </c>
      <c r="K181" s="11" t="str">
        <f>IF($A181="","",'03_年度学习计划'!$S181)</f>
        <v/>
      </c>
      <c r="L181" s="13" t="str">
        <f t="shared" si="5"/>
        <v/>
      </c>
      <c r="M181" s="13"/>
      <c r="N181" s="13"/>
      <c r="O181" s="13"/>
      <c r="P181" s="14"/>
      <c r="Q181" s="14"/>
      <c r="R181" s="14"/>
      <c r="S181" s="14"/>
      <c r="T181" s="14"/>
    </row>
    <row r="182" spans="1:20" ht="13.9">
      <c r="A182" s="11" t="str">
        <f>IF('03_年度学习计划'!$A182="","",'03_年度学习计划'!$A182)</f>
        <v/>
      </c>
      <c r="B182" s="11" t="str">
        <f>IF($A182="","",'03_年度学习计划'!$D182)</f>
        <v/>
      </c>
      <c r="C182" s="11" t="str">
        <f>IF($A182="","",'03_年度学习计划'!$F182)</f>
        <v/>
      </c>
      <c r="D182" s="11" t="str">
        <f>IF($A182="","",'03_年度学习计划'!$G182)</f>
        <v/>
      </c>
      <c r="E182" s="11" t="str">
        <f>IF($A182="","",'03_年度学习计划'!$E182)</f>
        <v/>
      </c>
      <c r="F182" s="11" t="str">
        <f>IF($A182="","",'03_年度学习计划'!$L182)</f>
        <v/>
      </c>
      <c r="G182" s="12" t="str">
        <f>IF($A182="","",'03_年度学习计划'!$N182)</f>
        <v/>
      </c>
      <c r="H182" s="12" t="str">
        <f>IF($A182="","",'03_年度学习计划'!$O182)</f>
        <v/>
      </c>
      <c r="I182" s="12" t="str">
        <f>IF($A182="","",'03_年度学习计划'!$P182)</f>
        <v/>
      </c>
      <c r="J182" s="11" t="str">
        <f>IF($A182="","",'03_年度学习计划'!$Q182)</f>
        <v/>
      </c>
      <c r="K182" s="11" t="str">
        <f>IF($A182="","",'03_年度学习计划'!$S182)</f>
        <v/>
      </c>
      <c r="L182" s="13" t="str">
        <f t="shared" si="5"/>
        <v/>
      </c>
      <c r="M182" s="13"/>
      <c r="N182" s="13"/>
      <c r="O182" s="13"/>
      <c r="P182" s="14"/>
      <c r="Q182" s="14"/>
      <c r="R182" s="14"/>
      <c r="S182" s="14"/>
      <c r="T182" s="14"/>
    </row>
    <row r="183" spans="1:20" ht="13.9">
      <c r="A183" s="11" t="str">
        <f>IF('03_年度学习计划'!$A183="","",'03_年度学习计划'!$A183)</f>
        <v/>
      </c>
      <c r="B183" s="11" t="str">
        <f>IF($A183="","",'03_年度学习计划'!$D183)</f>
        <v/>
      </c>
      <c r="C183" s="11" t="str">
        <f>IF($A183="","",'03_年度学习计划'!$F183)</f>
        <v/>
      </c>
      <c r="D183" s="11" t="str">
        <f>IF($A183="","",'03_年度学习计划'!$G183)</f>
        <v/>
      </c>
      <c r="E183" s="11" t="str">
        <f>IF($A183="","",'03_年度学习计划'!$E183)</f>
        <v/>
      </c>
      <c r="F183" s="11" t="str">
        <f>IF($A183="","",'03_年度学习计划'!$L183)</f>
        <v/>
      </c>
      <c r="G183" s="12" t="str">
        <f>IF($A183="","",'03_年度学习计划'!$N183)</f>
        <v/>
      </c>
      <c r="H183" s="12" t="str">
        <f>IF($A183="","",'03_年度学习计划'!$O183)</f>
        <v/>
      </c>
      <c r="I183" s="12" t="str">
        <f>IF($A183="","",'03_年度学习计划'!$P183)</f>
        <v/>
      </c>
      <c r="J183" s="11" t="str">
        <f>IF($A183="","",'03_年度学习计划'!$Q183)</f>
        <v/>
      </c>
      <c r="K183" s="11" t="str">
        <f>IF($A183="","",'03_年度学习计划'!$S183)</f>
        <v/>
      </c>
      <c r="L183" s="13" t="str">
        <f t="shared" si="5"/>
        <v/>
      </c>
      <c r="M183" s="13"/>
      <c r="N183" s="13"/>
      <c r="O183" s="13"/>
      <c r="P183" s="14"/>
      <c r="Q183" s="14"/>
      <c r="R183" s="14"/>
      <c r="S183" s="14"/>
      <c r="T183" s="14"/>
    </row>
    <row r="184" spans="1:20" ht="13.9">
      <c r="A184" s="11" t="str">
        <f>IF('03_年度学习计划'!$A184="","",'03_年度学习计划'!$A184)</f>
        <v/>
      </c>
      <c r="B184" s="11" t="str">
        <f>IF($A184="","",'03_年度学习计划'!$D184)</f>
        <v/>
      </c>
      <c r="C184" s="11" t="str">
        <f>IF($A184="","",'03_年度学习计划'!$F184)</f>
        <v/>
      </c>
      <c r="D184" s="11" t="str">
        <f>IF($A184="","",'03_年度学习计划'!$G184)</f>
        <v/>
      </c>
      <c r="E184" s="11" t="str">
        <f>IF($A184="","",'03_年度学习计划'!$E184)</f>
        <v/>
      </c>
      <c r="F184" s="11" t="str">
        <f>IF($A184="","",'03_年度学习计划'!$L184)</f>
        <v/>
      </c>
      <c r="G184" s="12" t="str">
        <f>IF($A184="","",'03_年度学习计划'!$N184)</f>
        <v/>
      </c>
      <c r="H184" s="12" t="str">
        <f>IF($A184="","",'03_年度学习计划'!$O184)</f>
        <v/>
      </c>
      <c r="I184" s="12" t="str">
        <f>IF($A184="","",'03_年度学习计划'!$P184)</f>
        <v/>
      </c>
      <c r="J184" s="11" t="str">
        <f>IF($A184="","",'03_年度学习计划'!$Q184)</f>
        <v/>
      </c>
      <c r="K184" s="11" t="str">
        <f>IF($A184="","",'03_年度学习计划'!$S184)</f>
        <v/>
      </c>
      <c r="L184" s="13" t="str">
        <f t="shared" si="5"/>
        <v/>
      </c>
      <c r="M184" s="13"/>
      <c r="N184" s="13"/>
      <c r="O184" s="13"/>
      <c r="P184" s="14"/>
      <c r="Q184" s="14"/>
      <c r="R184" s="14"/>
      <c r="S184" s="14"/>
      <c r="T184" s="14"/>
    </row>
    <row r="185" spans="1:20" ht="13.9">
      <c r="A185" s="11" t="str">
        <f>IF('03_年度学习计划'!$A185="","",'03_年度学习计划'!$A185)</f>
        <v/>
      </c>
      <c r="B185" s="11" t="str">
        <f>IF($A185="","",'03_年度学习计划'!$D185)</f>
        <v/>
      </c>
      <c r="C185" s="11" t="str">
        <f>IF($A185="","",'03_年度学习计划'!$F185)</f>
        <v/>
      </c>
      <c r="D185" s="11" t="str">
        <f>IF($A185="","",'03_年度学习计划'!$G185)</f>
        <v/>
      </c>
      <c r="E185" s="11" t="str">
        <f>IF($A185="","",'03_年度学习计划'!$E185)</f>
        <v/>
      </c>
      <c r="F185" s="11" t="str">
        <f>IF($A185="","",'03_年度学习计划'!$L185)</f>
        <v/>
      </c>
      <c r="G185" s="12" t="str">
        <f>IF($A185="","",'03_年度学习计划'!$N185)</f>
        <v/>
      </c>
      <c r="H185" s="12" t="str">
        <f>IF($A185="","",'03_年度学习计划'!$O185)</f>
        <v/>
      </c>
      <c r="I185" s="12" t="str">
        <f>IF($A185="","",'03_年度学习计划'!$P185)</f>
        <v/>
      </c>
      <c r="J185" s="11" t="str">
        <f>IF($A185="","",'03_年度学习计划'!$Q185)</f>
        <v/>
      </c>
      <c r="K185" s="11" t="str">
        <f>IF($A185="","",'03_年度学习计划'!$S185)</f>
        <v/>
      </c>
      <c r="L185" s="13" t="str">
        <f t="shared" si="5"/>
        <v/>
      </c>
      <c r="M185" s="13"/>
      <c r="N185" s="13"/>
      <c r="O185" s="13"/>
      <c r="P185" s="14"/>
      <c r="Q185" s="14"/>
      <c r="R185" s="14"/>
      <c r="S185" s="14"/>
      <c r="T185" s="14"/>
    </row>
    <row r="186" spans="1:20" ht="13.9">
      <c r="A186" s="11" t="str">
        <f>IF('03_年度学习计划'!$A186="","",'03_年度学习计划'!$A186)</f>
        <v/>
      </c>
      <c r="B186" s="11" t="str">
        <f>IF($A186="","",'03_年度学习计划'!$D186)</f>
        <v/>
      </c>
      <c r="C186" s="11" t="str">
        <f>IF($A186="","",'03_年度学习计划'!$F186)</f>
        <v/>
      </c>
      <c r="D186" s="11" t="str">
        <f>IF($A186="","",'03_年度学习计划'!$G186)</f>
        <v/>
      </c>
      <c r="E186" s="11" t="str">
        <f>IF($A186="","",'03_年度学习计划'!$E186)</f>
        <v/>
      </c>
      <c r="F186" s="11" t="str">
        <f>IF($A186="","",'03_年度学习计划'!$L186)</f>
        <v/>
      </c>
      <c r="G186" s="12" t="str">
        <f>IF($A186="","",'03_年度学习计划'!$N186)</f>
        <v/>
      </c>
      <c r="H186" s="12" t="str">
        <f>IF($A186="","",'03_年度学习计划'!$O186)</f>
        <v/>
      </c>
      <c r="I186" s="12" t="str">
        <f>IF($A186="","",'03_年度学习计划'!$P186)</f>
        <v/>
      </c>
      <c r="J186" s="11" t="str">
        <f>IF($A186="","",'03_年度学习计划'!$Q186)</f>
        <v/>
      </c>
      <c r="K186" s="11" t="str">
        <f>IF($A186="","",'03_年度学习计划'!$S186)</f>
        <v/>
      </c>
      <c r="L186" s="13" t="str">
        <f t="shared" si="5"/>
        <v/>
      </c>
      <c r="M186" s="13"/>
      <c r="N186" s="13"/>
      <c r="O186" s="13"/>
      <c r="P186" s="14"/>
      <c r="Q186" s="14"/>
      <c r="R186" s="14"/>
      <c r="S186" s="14"/>
      <c r="T186" s="14"/>
    </row>
    <row r="187" spans="1:20" ht="13.9">
      <c r="A187" s="11" t="str">
        <f>IF('03_年度学习计划'!$A187="","",'03_年度学习计划'!$A187)</f>
        <v/>
      </c>
      <c r="B187" s="11" t="str">
        <f>IF($A187="","",'03_年度学习计划'!$D187)</f>
        <v/>
      </c>
      <c r="C187" s="11" t="str">
        <f>IF($A187="","",'03_年度学习计划'!$F187)</f>
        <v/>
      </c>
      <c r="D187" s="11" t="str">
        <f>IF($A187="","",'03_年度学习计划'!$G187)</f>
        <v/>
      </c>
      <c r="E187" s="11" t="str">
        <f>IF($A187="","",'03_年度学习计划'!$E187)</f>
        <v/>
      </c>
      <c r="F187" s="11" t="str">
        <f>IF($A187="","",'03_年度学习计划'!$L187)</f>
        <v/>
      </c>
      <c r="G187" s="12" t="str">
        <f>IF($A187="","",'03_年度学习计划'!$N187)</f>
        <v/>
      </c>
      <c r="H187" s="12" t="str">
        <f>IF($A187="","",'03_年度学习计划'!$O187)</f>
        <v/>
      </c>
      <c r="I187" s="12" t="str">
        <f>IF($A187="","",'03_年度学习计划'!$P187)</f>
        <v/>
      </c>
      <c r="J187" s="11" t="str">
        <f>IF($A187="","",'03_年度学习计划'!$Q187)</f>
        <v/>
      </c>
      <c r="K187" s="11" t="str">
        <f>IF($A187="","",'03_年度学习计划'!$S187)</f>
        <v/>
      </c>
      <c r="L187" s="13" t="str">
        <f t="shared" si="5"/>
        <v/>
      </c>
      <c r="M187" s="13"/>
      <c r="N187" s="13"/>
      <c r="O187" s="13"/>
      <c r="P187" s="14"/>
      <c r="Q187" s="14"/>
      <c r="R187" s="14"/>
      <c r="S187" s="14"/>
      <c r="T187" s="14"/>
    </row>
    <row r="188" spans="1:20" ht="13.9">
      <c r="A188" s="11" t="str">
        <f>IF('03_年度学习计划'!$A188="","",'03_年度学习计划'!$A188)</f>
        <v/>
      </c>
      <c r="B188" s="11" t="str">
        <f>IF($A188="","",'03_年度学习计划'!$D188)</f>
        <v/>
      </c>
      <c r="C188" s="11" t="str">
        <f>IF($A188="","",'03_年度学习计划'!$F188)</f>
        <v/>
      </c>
      <c r="D188" s="11" t="str">
        <f>IF($A188="","",'03_年度学习计划'!$G188)</f>
        <v/>
      </c>
      <c r="E188" s="11" t="str">
        <f>IF($A188="","",'03_年度学习计划'!$E188)</f>
        <v/>
      </c>
      <c r="F188" s="11" t="str">
        <f>IF($A188="","",'03_年度学习计划'!$L188)</f>
        <v/>
      </c>
      <c r="G188" s="12" t="str">
        <f>IF($A188="","",'03_年度学习计划'!$N188)</f>
        <v/>
      </c>
      <c r="H188" s="12" t="str">
        <f>IF($A188="","",'03_年度学习计划'!$O188)</f>
        <v/>
      </c>
      <c r="I188" s="12" t="str">
        <f>IF($A188="","",'03_年度学习计划'!$P188)</f>
        <v/>
      </c>
      <c r="J188" s="11" t="str">
        <f>IF($A188="","",'03_年度学习计划'!$Q188)</f>
        <v/>
      </c>
      <c r="K188" s="11" t="str">
        <f>IF($A188="","",'03_年度学习计划'!$S188)</f>
        <v/>
      </c>
      <c r="L188" s="13" t="str">
        <f t="shared" si="5"/>
        <v/>
      </c>
      <c r="M188" s="13"/>
      <c r="N188" s="13"/>
      <c r="O188" s="13"/>
      <c r="P188" s="14"/>
      <c r="Q188" s="14"/>
      <c r="R188" s="14"/>
      <c r="S188" s="14"/>
      <c r="T188" s="14"/>
    </row>
    <row r="189" spans="1:20" ht="13.9">
      <c r="A189" s="11" t="str">
        <f>IF('03_年度学习计划'!$A189="","",'03_年度学习计划'!$A189)</f>
        <v/>
      </c>
      <c r="B189" s="11" t="str">
        <f>IF($A189="","",'03_年度学习计划'!$D189)</f>
        <v/>
      </c>
      <c r="C189" s="11" t="str">
        <f>IF($A189="","",'03_年度学习计划'!$F189)</f>
        <v/>
      </c>
      <c r="D189" s="11" t="str">
        <f>IF($A189="","",'03_年度学习计划'!$G189)</f>
        <v/>
      </c>
      <c r="E189" s="11" t="str">
        <f>IF($A189="","",'03_年度学习计划'!$E189)</f>
        <v/>
      </c>
      <c r="F189" s="11" t="str">
        <f>IF($A189="","",'03_年度学习计划'!$L189)</f>
        <v/>
      </c>
      <c r="G189" s="12" t="str">
        <f>IF($A189="","",'03_年度学习计划'!$N189)</f>
        <v/>
      </c>
      <c r="H189" s="12" t="str">
        <f>IF($A189="","",'03_年度学习计划'!$O189)</f>
        <v/>
      </c>
      <c r="I189" s="12" t="str">
        <f>IF($A189="","",'03_年度学习计划'!$P189)</f>
        <v/>
      </c>
      <c r="J189" s="11" t="str">
        <f>IF($A189="","",'03_年度学习计划'!$Q189)</f>
        <v/>
      </c>
      <c r="K189" s="11" t="str">
        <f>IF($A189="","",'03_年度学习计划'!$S189)</f>
        <v/>
      </c>
      <c r="L189" s="13" t="str">
        <f t="shared" si="5"/>
        <v/>
      </c>
      <c r="M189" s="13"/>
      <c r="N189" s="13"/>
      <c r="O189" s="13"/>
      <c r="P189" s="14"/>
      <c r="Q189" s="14"/>
      <c r="R189" s="14"/>
      <c r="S189" s="14"/>
      <c r="T189" s="14"/>
    </row>
    <row r="190" spans="1:20" ht="13.9">
      <c r="A190" s="11" t="str">
        <f>IF('03_年度学习计划'!$A190="","",'03_年度学习计划'!$A190)</f>
        <v/>
      </c>
      <c r="B190" s="11" t="str">
        <f>IF($A190="","",'03_年度学习计划'!$D190)</f>
        <v/>
      </c>
      <c r="C190" s="11" t="str">
        <f>IF($A190="","",'03_年度学习计划'!$F190)</f>
        <v/>
      </c>
      <c r="D190" s="11" t="str">
        <f>IF($A190="","",'03_年度学习计划'!$G190)</f>
        <v/>
      </c>
      <c r="E190" s="11" t="str">
        <f>IF($A190="","",'03_年度学习计划'!$E190)</f>
        <v/>
      </c>
      <c r="F190" s="11" t="str">
        <f>IF($A190="","",'03_年度学习计划'!$L190)</f>
        <v/>
      </c>
      <c r="G190" s="12" t="str">
        <f>IF($A190="","",'03_年度学习计划'!$N190)</f>
        <v/>
      </c>
      <c r="H190" s="12" t="str">
        <f>IF($A190="","",'03_年度学习计划'!$O190)</f>
        <v/>
      </c>
      <c r="I190" s="12" t="str">
        <f>IF($A190="","",'03_年度学习计划'!$P190)</f>
        <v/>
      </c>
      <c r="J190" s="11" t="str">
        <f>IF($A190="","",'03_年度学习计划'!$Q190)</f>
        <v/>
      </c>
      <c r="K190" s="11" t="str">
        <f>IF($A190="","",'03_年度学习计划'!$S190)</f>
        <v/>
      </c>
      <c r="L190" s="13" t="str">
        <f t="shared" si="5"/>
        <v/>
      </c>
      <c r="M190" s="13"/>
      <c r="N190" s="13"/>
      <c r="O190" s="13"/>
      <c r="P190" s="14"/>
      <c r="Q190" s="14"/>
      <c r="R190" s="14"/>
      <c r="S190" s="14"/>
      <c r="T190" s="14"/>
    </row>
    <row r="191" spans="1:20" ht="13.9">
      <c r="A191" s="11" t="str">
        <f>IF('03_年度学习计划'!$A191="","",'03_年度学习计划'!$A191)</f>
        <v/>
      </c>
      <c r="B191" s="11" t="str">
        <f>IF($A191="","",'03_年度学习计划'!$D191)</f>
        <v/>
      </c>
      <c r="C191" s="11" t="str">
        <f>IF($A191="","",'03_年度学习计划'!$F191)</f>
        <v/>
      </c>
      <c r="D191" s="11" t="str">
        <f>IF($A191="","",'03_年度学习计划'!$G191)</f>
        <v/>
      </c>
      <c r="E191" s="11" t="str">
        <f>IF($A191="","",'03_年度学习计划'!$E191)</f>
        <v/>
      </c>
      <c r="F191" s="11" t="str">
        <f>IF($A191="","",'03_年度学习计划'!$L191)</f>
        <v/>
      </c>
      <c r="G191" s="12" t="str">
        <f>IF($A191="","",'03_年度学习计划'!$N191)</f>
        <v/>
      </c>
      <c r="H191" s="12" t="str">
        <f>IF($A191="","",'03_年度学习计划'!$O191)</f>
        <v/>
      </c>
      <c r="I191" s="12" t="str">
        <f>IF($A191="","",'03_年度学习计划'!$P191)</f>
        <v/>
      </c>
      <c r="J191" s="11" t="str">
        <f>IF($A191="","",'03_年度学习计划'!$Q191)</f>
        <v/>
      </c>
      <c r="K191" s="11" t="str">
        <f>IF($A191="","",'03_年度学习计划'!$S191)</f>
        <v/>
      </c>
      <c r="L191" s="13" t="str">
        <f t="shared" si="5"/>
        <v/>
      </c>
      <c r="M191" s="13"/>
      <c r="N191" s="13"/>
      <c r="O191" s="13"/>
      <c r="P191" s="14"/>
      <c r="Q191" s="14"/>
      <c r="R191" s="14"/>
      <c r="S191" s="14"/>
      <c r="T191" s="14"/>
    </row>
    <row r="192" spans="1:20" ht="13.9">
      <c r="A192" s="11" t="str">
        <f>IF('03_年度学习计划'!$A192="","",'03_年度学习计划'!$A192)</f>
        <v/>
      </c>
      <c r="B192" s="11" t="str">
        <f>IF($A192="","",'03_年度学习计划'!$D192)</f>
        <v/>
      </c>
      <c r="C192" s="11" t="str">
        <f>IF($A192="","",'03_年度学习计划'!$F192)</f>
        <v/>
      </c>
      <c r="D192" s="11" t="str">
        <f>IF($A192="","",'03_年度学习计划'!$G192)</f>
        <v/>
      </c>
      <c r="E192" s="11" t="str">
        <f>IF($A192="","",'03_年度学习计划'!$E192)</f>
        <v/>
      </c>
      <c r="F192" s="11" t="str">
        <f>IF($A192="","",'03_年度学习计划'!$L192)</f>
        <v/>
      </c>
      <c r="G192" s="12" t="str">
        <f>IF($A192="","",'03_年度学习计划'!$N192)</f>
        <v/>
      </c>
      <c r="H192" s="12" t="str">
        <f>IF($A192="","",'03_年度学习计划'!$O192)</f>
        <v/>
      </c>
      <c r="I192" s="12" t="str">
        <f>IF($A192="","",'03_年度学习计划'!$P192)</f>
        <v/>
      </c>
      <c r="J192" s="11" t="str">
        <f>IF($A192="","",'03_年度学习计划'!$Q192)</f>
        <v/>
      </c>
      <c r="K192" s="11" t="str">
        <f>IF($A192="","",'03_年度学习计划'!$S192)</f>
        <v/>
      </c>
      <c r="L192" s="13" t="str">
        <f t="shared" si="5"/>
        <v/>
      </c>
      <c r="M192" s="13"/>
      <c r="N192" s="13"/>
      <c r="O192" s="13"/>
      <c r="P192" s="14"/>
      <c r="Q192" s="14"/>
      <c r="R192" s="14"/>
      <c r="S192" s="14"/>
      <c r="T192" s="14"/>
    </row>
    <row r="193" spans="1:20" ht="13.9">
      <c r="A193" s="11" t="str">
        <f>IF('03_年度学习计划'!$A193="","",'03_年度学习计划'!$A193)</f>
        <v/>
      </c>
      <c r="B193" s="11" t="str">
        <f>IF($A193="","",'03_年度学习计划'!$D193)</f>
        <v/>
      </c>
      <c r="C193" s="11" t="str">
        <f>IF($A193="","",'03_年度学习计划'!$F193)</f>
        <v/>
      </c>
      <c r="D193" s="11" t="str">
        <f>IF($A193="","",'03_年度学习计划'!$G193)</f>
        <v/>
      </c>
      <c r="E193" s="11" t="str">
        <f>IF($A193="","",'03_年度学习计划'!$E193)</f>
        <v/>
      </c>
      <c r="F193" s="11" t="str">
        <f>IF($A193="","",'03_年度学习计划'!$L193)</f>
        <v/>
      </c>
      <c r="G193" s="12" t="str">
        <f>IF($A193="","",'03_年度学习计划'!$N193)</f>
        <v/>
      </c>
      <c r="H193" s="12" t="str">
        <f>IF($A193="","",'03_年度学习计划'!$O193)</f>
        <v/>
      </c>
      <c r="I193" s="12" t="str">
        <f>IF($A193="","",'03_年度学习计划'!$P193)</f>
        <v/>
      </c>
      <c r="J193" s="11" t="str">
        <f>IF($A193="","",'03_年度学习计划'!$Q193)</f>
        <v/>
      </c>
      <c r="K193" s="11" t="str">
        <f>IF($A193="","",'03_年度学习计划'!$S193)</f>
        <v/>
      </c>
      <c r="L193" s="13" t="str">
        <f t="shared" si="5"/>
        <v/>
      </c>
      <c r="M193" s="13"/>
      <c r="N193" s="13"/>
      <c r="O193" s="13"/>
      <c r="P193" s="14"/>
      <c r="Q193" s="14"/>
      <c r="R193" s="14"/>
      <c r="S193" s="14"/>
      <c r="T193" s="14"/>
    </row>
    <row r="194" spans="1:20" ht="13.9">
      <c r="A194" s="11" t="str">
        <f>IF('03_年度学习计划'!$A194="","",'03_年度学习计划'!$A194)</f>
        <v/>
      </c>
      <c r="B194" s="11" t="str">
        <f>IF($A194="","",'03_年度学习计划'!$D194)</f>
        <v/>
      </c>
      <c r="C194" s="11" t="str">
        <f>IF($A194="","",'03_年度学习计划'!$F194)</f>
        <v/>
      </c>
      <c r="D194" s="11" t="str">
        <f>IF($A194="","",'03_年度学习计划'!$G194)</f>
        <v/>
      </c>
      <c r="E194" s="11" t="str">
        <f>IF($A194="","",'03_年度学习计划'!$E194)</f>
        <v/>
      </c>
      <c r="F194" s="11" t="str">
        <f>IF($A194="","",'03_年度学习计划'!$L194)</f>
        <v/>
      </c>
      <c r="G194" s="12" t="str">
        <f>IF($A194="","",'03_年度学习计划'!$N194)</f>
        <v/>
      </c>
      <c r="H194" s="12" t="str">
        <f>IF($A194="","",'03_年度学习计划'!$O194)</f>
        <v/>
      </c>
      <c r="I194" s="12" t="str">
        <f>IF($A194="","",'03_年度学习计划'!$P194)</f>
        <v/>
      </c>
      <c r="J194" s="11" t="str">
        <f>IF($A194="","",'03_年度学习计划'!$Q194)</f>
        <v/>
      </c>
      <c r="K194" s="11" t="str">
        <f>IF($A194="","",'03_年度学习计划'!$S194)</f>
        <v/>
      </c>
      <c r="L194" s="13" t="str">
        <f t="shared" ref="L194:L201" si="6">IF($A194="","","未开始")</f>
        <v/>
      </c>
      <c r="M194" s="13"/>
      <c r="N194" s="13"/>
      <c r="O194" s="13"/>
      <c r="P194" s="14"/>
      <c r="Q194" s="14"/>
      <c r="R194" s="14"/>
      <c r="S194" s="14"/>
      <c r="T194" s="14"/>
    </row>
    <row r="195" spans="1:20" ht="13.9">
      <c r="A195" s="11" t="str">
        <f>IF('03_年度学习计划'!$A195="","",'03_年度学习计划'!$A195)</f>
        <v/>
      </c>
      <c r="B195" s="11" t="str">
        <f>IF($A195="","",'03_年度学习计划'!$D195)</f>
        <v/>
      </c>
      <c r="C195" s="11" t="str">
        <f>IF($A195="","",'03_年度学习计划'!$F195)</f>
        <v/>
      </c>
      <c r="D195" s="11" t="str">
        <f>IF($A195="","",'03_年度学习计划'!$G195)</f>
        <v/>
      </c>
      <c r="E195" s="11" t="str">
        <f>IF($A195="","",'03_年度学习计划'!$E195)</f>
        <v/>
      </c>
      <c r="F195" s="11" t="str">
        <f>IF($A195="","",'03_年度学习计划'!$L195)</f>
        <v/>
      </c>
      <c r="G195" s="12" t="str">
        <f>IF($A195="","",'03_年度学习计划'!$N195)</f>
        <v/>
      </c>
      <c r="H195" s="12" t="str">
        <f>IF($A195="","",'03_年度学习计划'!$O195)</f>
        <v/>
      </c>
      <c r="I195" s="12" t="str">
        <f>IF($A195="","",'03_年度学习计划'!$P195)</f>
        <v/>
      </c>
      <c r="J195" s="11" t="str">
        <f>IF($A195="","",'03_年度学习计划'!$Q195)</f>
        <v/>
      </c>
      <c r="K195" s="11" t="str">
        <f>IF($A195="","",'03_年度学习计划'!$S195)</f>
        <v/>
      </c>
      <c r="L195" s="13" t="str">
        <f t="shared" si="6"/>
        <v/>
      </c>
      <c r="M195" s="13"/>
      <c r="N195" s="13"/>
      <c r="O195" s="13"/>
      <c r="P195" s="14"/>
      <c r="Q195" s="14"/>
      <c r="R195" s="14"/>
      <c r="S195" s="14"/>
      <c r="T195" s="14"/>
    </row>
    <row r="196" spans="1:20" ht="13.9">
      <c r="A196" s="11" t="str">
        <f>IF('03_年度学习计划'!$A196="","",'03_年度学习计划'!$A196)</f>
        <v/>
      </c>
      <c r="B196" s="11" t="str">
        <f>IF($A196="","",'03_年度学习计划'!$D196)</f>
        <v/>
      </c>
      <c r="C196" s="11" t="str">
        <f>IF($A196="","",'03_年度学习计划'!$F196)</f>
        <v/>
      </c>
      <c r="D196" s="11" t="str">
        <f>IF($A196="","",'03_年度学习计划'!$G196)</f>
        <v/>
      </c>
      <c r="E196" s="11" t="str">
        <f>IF($A196="","",'03_年度学习计划'!$E196)</f>
        <v/>
      </c>
      <c r="F196" s="11" t="str">
        <f>IF($A196="","",'03_年度学习计划'!$L196)</f>
        <v/>
      </c>
      <c r="G196" s="12" t="str">
        <f>IF($A196="","",'03_年度学习计划'!$N196)</f>
        <v/>
      </c>
      <c r="H196" s="12" t="str">
        <f>IF($A196="","",'03_年度学习计划'!$O196)</f>
        <v/>
      </c>
      <c r="I196" s="12" t="str">
        <f>IF($A196="","",'03_年度学习计划'!$P196)</f>
        <v/>
      </c>
      <c r="J196" s="11" t="str">
        <f>IF($A196="","",'03_年度学习计划'!$Q196)</f>
        <v/>
      </c>
      <c r="K196" s="11" t="str">
        <f>IF($A196="","",'03_年度学习计划'!$S196)</f>
        <v/>
      </c>
      <c r="L196" s="13" t="str">
        <f t="shared" si="6"/>
        <v/>
      </c>
      <c r="M196" s="13"/>
      <c r="N196" s="13"/>
      <c r="O196" s="13"/>
      <c r="P196" s="14"/>
      <c r="Q196" s="14"/>
      <c r="R196" s="14"/>
      <c r="S196" s="14"/>
      <c r="T196" s="14"/>
    </row>
    <row r="197" spans="1:20" ht="13.9">
      <c r="A197" s="11" t="str">
        <f>IF('03_年度学习计划'!$A197="","",'03_年度学习计划'!$A197)</f>
        <v/>
      </c>
      <c r="B197" s="11" t="str">
        <f>IF($A197="","",'03_年度学习计划'!$D197)</f>
        <v/>
      </c>
      <c r="C197" s="11" t="str">
        <f>IF($A197="","",'03_年度学习计划'!$F197)</f>
        <v/>
      </c>
      <c r="D197" s="11" t="str">
        <f>IF($A197="","",'03_年度学习计划'!$G197)</f>
        <v/>
      </c>
      <c r="E197" s="11" t="str">
        <f>IF($A197="","",'03_年度学习计划'!$E197)</f>
        <v/>
      </c>
      <c r="F197" s="11" t="str">
        <f>IF($A197="","",'03_年度学习计划'!$L197)</f>
        <v/>
      </c>
      <c r="G197" s="12" t="str">
        <f>IF($A197="","",'03_年度学习计划'!$N197)</f>
        <v/>
      </c>
      <c r="H197" s="12" t="str">
        <f>IF($A197="","",'03_年度学习计划'!$O197)</f>
        <v/>
      </c>
      <c r="I197" s="12" t="str">
        <f>IF($A197="","",'03_年度学习计划'!$P197)</f>
        <v/>
      </c>
      <c r="J197" s="11" t="str">
        <f>IF($A197="","",'03_年度学习计划'!$Q197)</f>
        <v/>
      </c>
      <c r="K197" s="11" t="str">
        <f>IF($A197="","",'03_年度学习计划'!$S197)</f>
        <v/>
      </c>
      <c r="L197" s="13" t="str">
        <f t="shared" si="6"/>
        <v/>
      </c>
      <c r="M197" s="13"/>
      <c r="N197" s="13"/>
      <c r="O197" s="13"/>
      <c r="P197" s="14"/>
      <c r="Q197" s="14"/>
      <c r="R197" s="14"/>
      <c r="S197" s="14"/>
      <c r="T197" s="14"/>
    </row>
    <row r="198" spans="1:20" ht="13.9">
      <c r="A198" s="11" t="str">
        <f>IF('03_年度学习计划'!$A198="","",'03_年度学习计划'!$A198)</f>
        <v/>
      </c>
      <c r="B198" s="11" t="str">
        <f>IF($A198="","",'03_年度学习计划'!$D198)</f>
        <v/>
      </c>
      <c r="C198" s="11" t="str">
        <f>IF($A198="","",'03_年度学习计划'!$F198)</f>
        <v/>
      </c>
      <c r="D198" s="11" t="str">
        <f>IF($A198="","",'03_年度学习计划'!$G198)</f>
        <v/>
      </c>
      <c r="E198" s="11" t="str">
        <f>IF($A198="","",'03_年度学习计划'!$E198)</f>
        <v/>
      </c>
      <c r="F198" s="11" t="str">
        <f>IF($A198="","",'03_年度学习计划'!$L198)</f>
        <v/>
      </c>
      <c r="G198" s="12" t="str">
        <f>IF($A198="","",'03_年度学习计划'!$N198)</f>
        <v/>
      </c>
      <c r="H198" s="12" t="str">
        <f>IF($A198="","",'03_年度学习计划'!$O198)</f>
        <v/>
      </c>
      <c r="I198" s="12" t="str">
        <f>IF($A198="","",'03_年度学习计划'!$P198)</f>
        <v/>
      </c>
      <c r="J198" s="11" t="str">
        <f>IF($A198="","",'03_年度学习计划'!$Q198)</f>
        <v/>
      </c>
      <c r="K198" s="11" t="str">
        <f>IF($A198="","",'03_年度学习计划'!$S198)</f>
        <v/>
      </c>
      <c r="L198" s="13" t="str">
        <f t="shared" si="6"/>
        <v/>
      </c>
      <c r="M198" s="13"/>
      <c r="N198" s="13"/>
      <c r="O198" s="13"/>
      <c r="P198" s="14"/>
      <c r="Q198" s="14"/>
      <c r="R198" s="14"/>
      <c r="S198" s="14"/>
      <c r="T198" s="14"/>
    </row>
    <row r="199" spans="1:20" ht="13.9">
      <c r="A199" s="11" t="str">
        <f>IF('03_年度学习计划'!$A199="","",'03_年度学习计划'!$A199)</f>
        <v/>
      </c>
      <c r="B199" s="11" t="str">
        <f>IF($A199="","",'03_年度学习计划'!$D199)</f>
        <v/>
      </c>
      <c r="C199" s="11" t="str">
        <f>IF($A199="","",'03_年度学习计划'!$F199)</f>
        <v/>
      </c>
      <c r="D199" s="11" t="str">
        <f>IF($A199="","",'03_年度学习计划'!$G199)</f>
        <v/>
      </c>
      <c r="E199" s="11" t="str">
        <f>IF($A199="","",'03_年度学习计划'!$E199)</f>
        <v/>
      </c>
      <c r="F199" s="11" t="str">
        <f>IF($A199="","",'03_年度学习计划'!$L199)</f>
        <v/>
      </c>
      <c r="G199" s="12" t="str">
        <f>IF($A199="","",'03_年度学习计划'!$N199)</f>
        <v/>
      </c>
      <c r="H199" s="12" t="str">
        <f>IF($A199="","",'03_年度学习计划'!$O199)</f>
        <v/>
      </c>
      <c r="I199" s="12" t="str">
        <f>IF($A199="","",'03_年度学习计划'!$P199)</f>
        <v/>
      </c>
      <c r="J199" s="11" t="str">
        <f>IF($A199="","",'03_年度学习计划'!$Q199)</f>
        <v/>
      </c>
      <c r="K199" s="11" t="str">
        <f>IF($A199="","",'03_年度学习计划'!$S199)</f>
        <v/>
      </c>
      <c r="L199" s="13" t="str">
        <f t="shared" si="6"/>
        <v/>
      </c>
      <c r="M199" s="13"/>
      <c r="N199" s="13"/>
      <c r="O199" s="13"/>
      <c r="P199" s="14"/>
      <c r="Q199" s="14"/>
      <c r="R199" s="14"/>
      <c r="S199" s="14"/>
      <c r="T199" s="14"/>
    </row>
    <row r="200" spans="1:20" ht="13.9">
      <c r="A200" s="11" t="str">
        <f>IF('03_年度学习计划'!$A200="","",'03_年度学习计划'!$A200)</f>
        <v/>
      </c>
      <c r="B200" s="11" t="str">
        <f>IF($A200="","",'03_年度学习计划'!$D200)</f>
        <v/>
      </c>
      <c r="C200" s="11" t="str">
        <f>IF($A200="","",'03_年度学习计划'!$F200)</f>
        <v/>
      </c>
      <c r="D200" s="11" t="str">
        <f>IF($A200="","",'03_年度学习计划'!$G200)</f>
        <v/>
      </c>
      <c r="E200" s="11" t="str">
        <f>IF($A200="","",'03_年度学习计划'!$E200)</f>
        <v/>
      </c>
      <c r="F200" s="11" t="str">
        <f>IF($A200="","",'03_年度学习计划'!$L200)</f>
        <v/>
      </c>
      <c r="G200" s="12" t="str">
        <f>IF($A200="","",'03_年度学习计划'!$N200)</f>
        <v/>
      </c>
      <c r="H200" s="12" t="str">
        <f>IF($A200="","",'03_年度学习计划'!$O200)</f>
        <v/>
      </c>
      <c r="I200" s="12" t="str">
        <f>IF($A200="","",'03_年度学习计划'!$P200)</f>
        <v/>
      </c>
      <c r="J200" s="11" t="str">
        <f>IF($A200="","",'03_年度学习计划'!$Q200)</f>
        <v/>
      </c>
      <c r="K200" s="11" t="str">
        <f>IF($A200="","",'03_年度学习计划'!$S200)</f>
        <v/>
      </c>
      <c r="L200" s="13" t="str">
        <f t="shared" si="6"/>
        <v/>
      </c>
      <c r="M200" s="13"/>
      <c r="N200" s="13"/>
      <c r="O200" s="13"/>
      <c r="P200" s="14"/>
      <c r="Q200" s="14"/>
      <c r="R200" s="14"/>
      <c r="S200" s="14"/>
      <c r="T200" s="14"/>
    </row>
    <row r="201" spans="1:20" ht="13.9">
      <c r="A201" s="11" t="str">
        <f>IF('03_年度学习计划'!$A201="","",'03_年度学习计划'!$A201)</f>
        <v/>
      </c>
      <c r="B201" s="11" t="str">
        <f>IF($A201="","",'03_年度学习计划'!$D201)</f>
        <v/>
      </c>
      <c r="C201" s="11" t="str">
        <f>IF($A201="","",'03_年度学习计划'!$F201)</f>
        <v/>
      </c>
      <c r="D201" s="11" t="str">
        <f>IF($A201="","",'03_年度学习计划'!$G201)</f>
        <v/>
      </c>
      <c r="E201" s="11" t="str">
        <f>IF($A201="","",'03_年度学习计划'!$E201)</f>
        <v/>
      </c>
      <c r="F201" s="11" t="str">
        <f>IF($A201="","",'03_年度学习计划'!$L201)</f>
        <v/>
      </c>
      <c r="G201" s="12" t="str">
        <f>IF($A201="","",'03_年度学习计划'!$N201)</f>
        <v/>
      </c>
      <c r="H201" s="12" t="str">
        <f>IF($A201="","",'03_年度学习计划'!$O201)</f>
        <v/>
      </c>
      <c r="I201" s="12" t="str">
        <f>IF($A201="","",'03_年度学习计划'!$P201)</f>
        <v/>
      </c>
      <c r="J201" s="11" t="str">
        <f>IF($A201="","",'03_年度学习计划'!$Q201)</f>
        <v/>
      </c>
      <c r="K201" s="11" t="str">
        <f>IF($A201="","",'03_年度学习计划'!$S201)</f>
        <v/>
      </c>
      <c r="L201" s="13" t="str">
        <f t="shared" si="6"/>
        <v/>
      </c>
      <c r="M201" s="13"/>
      <c r="N201" s="13"/>
      <c r="O201" s="13"/>
      <c r="P201" s="14"/>
      <c r="Q201" s="14"/>
      <c r="R201" s="14"/>
      <c r="S201" s="14"/>
      <c r="T201" s="14"/>
    </row>
  </sheetData>
  <phoneticPr fontId="12" type="noConversion"/>
  <conditionalFormatting sqref="J2:J201">
    <cfRule type="expression" dxfId="5" priority="1">
      <formula>$J2="已完成"</formula>
    </cfRule>
    <cfRule type="expression" dxfId="4" priority="2">
      <formula>$J2="延期"</formula>
    </cfRule>
    <cfRule type="expression" dxfId="3" priority="3">
      <formula>$J2="进行中"</formula>
    </cfRule>
  </conditionalFormatting>
  <conditionalFormatting sqref="L2:L201">
    <cfRule type="expression" dxfId="2" priority="4">
      <formula>$L2="已完成"</formula>
    </cfRule>
    <cfRule type="expression" dxfId="1" priority="5">
      <formula>$L2="进行中"</formula>
    </cfRule>
    <cfRule type="expression" dxfId="0" priority="6">
      <formula>$L2="延期"</formula>
    </cfRule>
  </conditionalFormatting>
  <dataValidations count="3">
    <dataValidation type="list" sqref="F2:F201" xr:uid="{00000000-0002-0000-0400-000000000000}">
      <formula1>"阅读/学习,实操Demo,题库练习,方案设计,复盘总结,分享培训,模板沉淀"</formula1>
    </dataValidation>
    <dataValidation type="list" sqref="J2:J201 L2:L201" xr:uid="{00000000-0002-0000-0400-000001000000}">
      <formula1>"未开始,进行中,已完成,延期,暂停,取消"</formula1>
    </dataValidation>
    <dataValidation type="list" sqref="Q2:Q201" xr:uid="{00000000-0002-0000-0400-000003000000}">
      <formula1>"未评估,达标,优秀,需返工"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3.5"/>
  <cols>
    <col min="1" max="1" width="10" customWidth="1"/>
    <col min="2" max="3" width="14" customWidth="1"/>
    <col min="4" max="4" width="12" customWidth="1"/>
    <col min="5" max="6" width="14" customWidth="1"/>
    <col min="7" max="7" width="44" customWidth="1"/>
    <col min="8" max="10" width="34" customWidth="1"/>
  </cols>
  <sheetData>
    <row r="1" spans="1:10" ht="15.75">
      <c r="A1" s="10" t="s">
        <v>59</v>
      </c>
      <c r="B1" s="10" t="s">
        <v>1412</v>
      </c>
      <c r="C1" s="10" t="s">
        <v>1413</v>
      </c>
      <c r="D1" s="10" t="s">
        <v>62</v>
      </c>
      <c r="E1" s="10" t="s">
        <v>106</v>
      </c>
      <c r="F1" s="10" t="s">
        <v>63</v>
      </c>
      <c r="G1" s="10" t="s">
        <v>1414</v>
      </c>
      <c r="H1" s="10" t="s">
        <v>1415</v>
      </c>
      <c r="I1" s="10" t="s">
        <v>1416</v>
      </c>
      <c r="J1" s="10" t="s">
        <v>90</v>
      </c>
    </row>
    <row r="2" spans="1:10" ht="13.9">
      <c r="A2" s="2" t="s">
        <v>65</v>
      </c>
      <c r="B2" s="15">
        <f>COUNTIFS('03_年度学习计划'!$C$2:$C$201,A2,'03_年度学习计划'!$D$2:$D$201,"&lt;&gt;")</f>
        <v>0</v>
      </c>
      <c r="C2" s="15">
        <f>SUMPRODUCT(('03_年度学习计划'!$C$2:$C$201=A2)*('03_年度学习计划'!$D$2:$D$201&lt;&gt;"")*('04_学习执行跟踪'!$L$2:$L$201="已完成"))</f>
        <v>0</v>
      </c>
      <c r="D2" s="5">
        <f t="shared" ref="D2:D13" si="0">IFERROR(C2/B2,0)</f>
        <v>0</v>
      </c>
      <c r="E2" s="15">
        <f>SUMIF('03_年度学习计划'!$C$2:$C$201,A2,'03_年度学习计划'!$O$2:$O$201)</f>
        <v>0</v>
      </c>
      <c r="F2" s="15">
        <f>SUMPRODUCT(('03_年度学习计划'!$C$2:$C$201=A2)*('04_学习执行跟踪'!$O$2:$O$201))</f>
        <v>0</v>
      </c>
      <c r="G2" s="2"/>
      <c r="H2" s="2"/>
      <c r="I2" s="2"/>
      <c r="J2" s="2"/>
    </row>
    <row r="3" spans="1:10" ht="13.9">
      <c r="A3" s="2" t="s">
        <v>67</v>
      </c>
      <c r="B3" s="15">
        <f>COUNTIFS('03_年度学习计划'!$C$2:$C$201,A3,'03_年度学习计划'!$D$2:$D$201,"&lt;&gt;")</f>
        <v>0</v>
      </c>
      <c r="C3" s="15">
        <f>SUMPRODUCT(('03_年度学习计划'!$C$2:$C$201=A3)*('03_年度学习计划'!$D$2:$D$201&lt;&gt;"")*('04_学习执行跟踪'!$L$2:$L$201="已完成"))</f>
        <v>0</v>
      </c>
      <c r="D3" s="5">
        <f t="shared" si="0"/>
        <v>0</v>
      </c>
      <c r="E3" s="15">
        <f>SUMIF('03_年度学习计划'!$C$2:$C$201,A3,'03_年度学习计划'!$O$2:$O$201)</f>
        <v>0</v>
      </c>
      <c r="F3" s="15">
        <f>SUMPRODUCT(('03_年度学习计划'!$C$2:$C$201=A3)*('04_学习执行跟踪'!$O$2:$O$201))</f>
        <v>0</v>
      </c>
      <c r="G3" s="2"/>
      <c r="H3" s="2"/>
      <c r="I3" s="2"/>
      <c r="J3" s="2"/>
    </row>
    <row r="4" spans="1:10" ht="13.9">
      <c r="A4" s="2" t="s">
        <v>69</v>
      </c>
      <c r="B4" s="15">
        <f>COUNTIFS('03_年度学习计划'!$C$2:$C$201,A4,'03_年度学习计划'!$D$2:$D$201,"&lt;&gt;")</f>
        <v>0</v>
      </c>
      <c r="C4" s="15">
        <f>SUMPRODUCT(('03_年度学习计划'!$C$2:$C$201=A4)*('03_年度学习计划'!$D$2:$D$201&lt;&gt;"")*('04_学习执行跟踪'!$L$2:$L$201="已完成"))</f>
        <v>0</v>
      </c>
      <c r="D4" s="5">
        <f t="shared" si="0"/>
        <v>0</v>
      </c>
      <c r="E4" s="15">
        <f>SUMIF('03_年度学习计划'!$C$2:$C$201,A4,'03_年度学习计划'!$O$2:$O$201)</f>
        <v>0</v>
      </c>
      <c r="F4" s="15">
        <f>SUMPRODUCT(('03_年度学习计划'!$C$2:$C$201=A4)*('04_学习执行跟踪'!$O$2:$O$201))</f>
        <v>0</v>
      </c>
      <c r="G4" s="2"/>
      <c r="H4" s="2"/>
      <c r="I4" s="2"/>
      <c r="J4" s="2"/>
    </row>
    <row r="5" spans="1:10" ht="13.9">
      <c r="A5" s="2" t="s">
        <v>72</v>
      </c>
      <c r="B5" s="15">
        <f>COUNTIFS('03_年度学习计划'!$C$2:$C$201,A5,'03_年度学习计划'!$D$2:$D$201,"&lt;&gt;")</f>
        <v>0</v>
      </c>
      <c r="C5" s="15">
        <f>SUMPRODUCT(('03_年度学习计划'!$C$2:$C$201=A5)*('03_年度学习计划'!$D$2:$D$201&lt;&gt;"")*('04_学习执行跟踪'!$L$2:$L$201="已完成"))</f>
        <v>0</v>
      </c>
      <c r="D5" s="5">
        <f t="shared" si="0"/>
        <v>0</v>
      </c>
      <c r="E5" s="15">
        <f>SUMIF('03_年度学习计划'!$C$2:$C$201,A5,'03_年度学习计划'!$O$2:$O$201)</f>
        <v>0</v>
      </c>
      <c r="F5" s="15">
        <f>SUMPRODUCT(('03_年度学习计划'!$C$2:$C$201=A5)*('04_学习执行跟踪'!$O$2:$O$201))</f>
        <v>0</v>
      </c>
      <c r="G5" s="2"/>
      <c r="H5" s="2"/>
      <c r="I5" s="2"/>
      <c r="J5" s="2"/>
    </row>
    <row r="6" spans="1:10" ht="13.9">
      <c r="A6" s="2" t="s">
        <v>73</v>
      </c>
      <c r="B6" s="15">
        <f>COUNTIFS('03_年度学习计划'!$C$2:$C$201,A6,'03_年度学习计划'!$D$2:$D$201,"&lt;&gt;")</f>
        <v>0</v>
      </c>
      <c r="C6" s="15">
        <f>SUMPRODUCT(('03_年度学习计划'!$C$2:$C$201=A6)*('03_年度学习计划'!$D$2:$D$201&lt;&gt;"")*('04_学习执行跟踪'!$L$2:$L$201="已完成"))</f>
        <v>0</v>
      </c>
      <c r="D6" s="5">
        <f t="shared" si="0"/>
        <v>0</v>
      </c>
      <c r="E6" s="15">
        <f>SUMIF('03_年度学习计划'!$C$2:$C$201,A6,'03_年度学习计划'!$O$2:$O$201)</f>
        <v>0</v>
      </c>
      <c r="F6" s="15">
        <f>SUMPRODUCT(('03_年度学习计划'!$C$2:$C$201=A6)*('04_学习执行跟踪'!$O$2:$O$201))</f>
        <v>0</v>
      </c>
      <c r="G6" s="2"/>
      <c r="H6" s="2"/>
      <c r="I6" s="2"/>
      <c r="J6" s="2"/>
    </row>
    <row r="7" spans="1:10" ht="13.9">
      <c r="A7" s="2" t="s">
        <v>74</v>
      </c>
      <c r="B7" s="15">
        <f>COUNTIFS('03_年度学习计划'!$C$2:$C$201,A7,'03_年度学习计划'!$D$2:$D$201,"&lt;&gt;")</f>
        <v>0</v>
      </c>
      <c r="C7" s="15">
        <f>SUMPRODUCT(('03_年度学习计划'!$C$2:$C$201=A7)*('03_年度学习计划'!$D$2:$D$201&lt;&gt;"")*('04_学习执行跟踪'!$L$2:$L$201="已完成"))</f>
        <v>0</v>
      </c>
      <c r="D7" s="5">
        <f t="shared" si="0"/>
        <v>0</v>
      </c>
      <c r="E7" s="15">
        <f>SUMIF('03_年度学习计划'!$C$2:$C$201,A7,'03_年度学习计划'!$O$2:$O$201)</f>
        <v>0</v>
      </c>
      <c r="F7" s="15">
        <f>SUMPRODUCT(('03_年度学习计划'!$C$2:$C$201=A7)*('04_学习执行跟踪'!$O$2:$O$201))</f>
        <v>0</v>
      </c>
      <c r="G7" s="2"/>
      <c r="H7" s="2"/>
      <c r="I7" s="2"/>
      <c r="J7" s="2"/>
    </row>
    <row r="8" spans="1:10" ht="13.9">
      <c r="A8" s="2" t="s">
        <v>76</v>
      </c>
      <c r="B8" s="15">
        <f>COUNTIFS('03_年度学习计划'!$C$2:$C$201,A8,'03_年度学习计划'!$D$2:$D$201,"&lt;&gt;")</f>
        <v>0</v>
      </c>
      <c r="C8" s="15">
        <f>SUMPRODUCT(('03_年度学习计划'!$C$2:$C$201=A8)*('03_年度学习计划'!$D$2:$D$201&lt;&gt;"")*('04_学习执行跟踪'!$L$2:$L$201="已完成"))</f>
        <v>0</v>
      </c>
      <c r="D8" s="5">
        <f t="shared" si="0"/>
        <v>0</v>
      </c>
      <c r="E8" s="15">
        <f>SUMIF('03_年度学习计划'!$C$2:$C$201,A8,'03_年度学习计划'!$O$2:$O$201)</f>
        <v>0</v>
      </c>
      <c r="F8" s="15">
        <f>SUMPRODUCT(('03_年度学习计划'!$C$2:$C$201=A8)*('04_学习执行跟踪'!$O$2:$O$201))</f>
        <v>0</v>
      </c>
      <c r="G8" s="2"/>
      <c r="H8" s="2"/>
      <c r="I8" s="2"/>
      <c r="J8" s="2"/>
    </row>
    <row r="9" spans="1:10" ht="13.9">
      <c r="A9" s="2" t="s">
        <v>78</v>
      </c>
      <c r="B9" s="15">
        <f>COUNTIFS('03_年度学习计划'!$C$2:$C$201,A9,'03_年度学习计划'!$D$2:$D$201,"&lt;&gt;")</f>
        <v>0</v>
      </c>
      <c r="C9" s="15">
        <f>SUMPRODUCT(('03_年度学习计划'!$C$2:$C$201=A9)*('03_年度学习计划'!$D$2:$D$201&lt;&gt;"")*('04_学习执行跟踪'!$L$2:$L$201="已完成"))</f>
        <v>0</v>
      </c>
      <c r="D9" s="5">
        <f t="shared" si="0"/>
        <v>0</v>
      </c>
      <c r="E9" s="15">
        <f>SUMIF('03_年度学习计划'!$C$2:$C$201,A9,'03_年度学习计划'!$O$2:$O$201)</f>
        <v>0</v>
      </c>
      <c r="F9" s="15">
        <f>SUMPRODUCT(('03_年度学习计划'!$C$2:$C$201=A9)*('04_学习执行跟踪'!$O$2:$O$201))</f>
        <v>0</v>
      </c>
      <c r="G9" s="2"/>
      <c r="H9" s="2"/>
      <c r="I9" s="2"/>
      <c r="J9" s="2"/>
    </row>
    <row r="10" spans="1:10" ht="13.9">
      <c r="A10" s="2" t="s">
        <v>80</v>
      </c>
      <c r="B10" s="15">
        <f>COUNTIFS('03_年度学习计划'!$C$2:$C$201,A10,'03_年度学习计划'!$D$2:$D$201,"&lt;&gt;")</f>
        <v>0</v>
      </c>
      <c r="C10" s="15">
        <f>SUMPRODUCT(('03_年度学习计划'!$C$2:$C$201=A10)*('03_年度学习计划'!$D$2:$D$201&lt;&gt;"")*('04_学习执行跟踪'!$L$2:$L$201="已完成"))</f>
        <v>0</v>
      </c>
      <c r="D10" s="5">
        <f t="shared" si="0"/>
        <v>0</v>
      </c>
      <c r="E10" s="15">
        <f>SUMIF('03_年度学习计划'!$C$2:$C$201,A10,'03_年度学习计划'!$O$2:$O$201)</f>
        <v>0</v>
      </c>
      <c r="F10" s="15">
        <f>SUMPRODUCT(('03_年度学习计划'!$C$2:$C$201=A10)*('04_学习执行跟踪'!$O$2:$O$201))</f>
        <v>0</v>
      </c>
      <c r="G10" s="2"/>
      <c r="H10" s="2"/>
      <c r="I10" s="2"/>
      <c r="J10" s="2"/>
    </row>
    <row r="11" spans="1:10" ht="13.9">
      <c r="A11" s="2" t="s">
        <v>82</v>
      </c>
      <c r="B11" s="15">
        <f>COUNTIFS('03_年度学习计划'!$C$2:$C$201,A11,'03_年度学习计划'!$D$2:$D$201,"&lt;&gt;")</f>
        <v>0</v>
      </c>
      <c r="C11" s="15">
        <f>SUMPRODUCT(('03_年度学习计划'!$C$2:$C$201=A11)*('03_年度学习计划'!$D$2:$D$201&lt;&gt;"")*('04_学习执行跟踪'!$L$2:$L$201="已完成"))</f>
        <v>0</v>
      </c>
      <c r="D11" s="5">
        <f t="shared" si="0"/>
        <v>0</v>
      </c>
      <c r="E11" s="15">
        <f>SUMIF('03_年度学习计划'!$C$2:$C$201,A11,'03_年度学习计划'!$O$2:$O$201)</f>
        <v>0</v>
      </c>
      <c r="F11" s="15">
        <f>SUMPRODUCT(('03_年度学习计划'!$C$2:$C$201=A11)*('04_学习执行跟踪'!$O$2:$O$201))</f>
        <v>0</v>
      </c>
      <c r="G11" s="2"/>
      <c r="H11" s="2"/>
      <c r="I11" s="2"/>
      <c r="J11" s="2"/>
    </row>
    <row r="12" spans="1:10" ht="13.9">
      <c r="A12" s="2" t="s">
        <v>84</v>
      </c>
      <c r="B12" s="15">
        <f>COUNTIFS('03_年度学习计划'!$C$2:$C$201,A12,'03_年度学习计划'!$D$2:$D$201,"&lt;&gt;")</f>
        <v>0</v>
      </c>
      <c r="C12" s="15">
        <f>SUMPRODUCT(('03_年度学习计划'!$C$2:$C$201=A12)*('03_年度学习计划'!$D$2:$D$201&lt;&gt;"")*('04_学习执行跟踪'!$L$2:$L$201="已完成"))</f>
        <v>0</v>
      </c>
      <c r="D12" s="5">
        <f t="shared" si="0"/>
        <v>0</v>
      </c>
      <c r="E12" s="15">
        <f>SUMIF('03_年度学习计划'!$C$2:$C$201,A12,'03_年度学习计划'!$O$2:$O$201)</f>
        <v>0</v>
      </c>
      <c r="F12" s="15">
        <f>SUMPRODUCT(('03_年度学习计划'!$C$2:$C$201=A12)*('04_学习执行跟踪'!$O$2:$O$201))</f>
        <v>0</v>
      </c>
      <c r="G12" s="2"/>
      <c r="H12" s="2"/>
      <c r="I12" s="2"/>
      <c r="J12" s="2"/>
    </row>
    <row r="13" spans="1:10" ht="13.9">
      <c r="A13" s="2" t="s">
        <v>86</v>
      </c>
      <c r="B13" s="15">
        <f>COUNTIFS('03_年度学习计划'!$C$2:$C$201,A13,'03_年度学习计划'!$D$2:$D$201,"&lt;&gt;")</f>
        <v>0</v>
      </c>
      <c r="C13" s="15">
        <f>SUMPRODUCT(('03_年度学习计划'!$C$2:$C$201=A13)*('03_年度学习计划'!$D$2:$D$201&lt;&gt;"")*('04_学习执行跟踪'!$L$2:$L$201="已完成"))</f>
        <v>0</v>
      </c>
      <c r="D13" s="5">
        <f t="shared" si="0"/>
        <v>0</v>
      </c>
      <c r="E13" s="15">
        <f>SUMIF('03_年度学习计划'!$C$2:$C$201,A13,'03_年度学习计划'!$O$2:$O$201)</f>
        <v>0</v>
      </c>
      <c r="F13" s="15">
        <f>SUMPRODUCT(('03_年度学习计划'!$C$2:$C$201=A13)*('04_学习执行跟踪'!$O$2:$O$201))</f>
        <v>0</v>
      </c>
      <c r="G13" s="2"/>
      <c r="H13" s="2"/>
      <c r="I13" s="2"/>
      <c r="J13" s="2"/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6"/>
  <sheetViews>
    <sheetView workbookViewId="0">
      <selection activeCell="D10" sqref="D10"/>
    </sheetView>
  </sheetViews>
  <sheetFormatPr defaultRowHeight="13.5"/>
  <cols>
    <col min="1" max="1" width="14" customWidth="1"/>
    <col min="2" max="2" width="30" customWidth="1"/>
    <col min="3" max="3" width="18" customWidth="1"/>
    <col min="4" max="4" width="46" customWidth="1"/>
    <col min="5" max="5" width="64" customWidth="1"/>
    <col min="6" max="6" width="24" customWidth="1"/>
  </cols>
  <sheetData>
    <row r="1" spans="1:6" ht="15.75">
      <c r="A1" s="3" t="s">
        <v>1417</v>
      </c>
      <c r="B1" s="3" t="s">
        <v>1418</v>
      </c>
      <c r="C1" s="3" t="s">
        <v>1419</v>
      </c>
      <c r="D1" s="3" t="s">
        <v>1420</v>
      </c>
      <c r="E1" s="3" t="s">
        <v>1421</v>
      </c>
      <c r="F1" s="3" t="s">
        <v>1422</v>
      </c>
    </row>
    <row r="2" spans="1:6" ht="27.75">
      <c r="A2" s="2" t="s">
        <v>125</v>
      </c>
      <c r="B2" s="2" t="s">
        <v>1423</v>
      </c>
      <c r="C2" s="2" t="s">
        <v>1424</v>
      </c>
      <c r="D2" s="2" t="s">
        <v>1425</v>
      </c>
      <c r="E2" s="2" t="s">
        <v>1426</v>
      </c>
      <c r="F2" s="2" t="s">
        <v>1427</v>
      </c>
    </row>
    <row r="3" spans="1:6" ht="27.75">
      <c r="A3" s="2" t="s">
        <v>153</v>
      </c>
      <c r="B3" s="2" t="s">
        <v>1428</v>
      </c>
      <c r="C3" s="2" t="s">
        <v>1429</v>
      </c>
      <c r="D3" s="2" t="s">
        <v>1430</v>
      </c>
      <c r="E3" s="2" t="s">
        <v>1431</v>
      </c>
      <c r="F3" s="2" t="s">
        <v>1432</v>
      </c>
    </row>
    <row r="4" spans="1:6" ht="27.75">
      <c r="A4" s="2" t="s">
        <v>189</v>
      </c>
      <c r="B4" s="2" t="s">
        <v>1433</v>
      </c>
      <c r="C4" s="2" t="s">
        <v>1434</v>
      </c>
      <c r="D4" s="2" t="s">
        <v>1435</v>
      </c>
      <c r="E4" s="2" t="s">
        <v>1436</v>
      </c>
      <c r="F4" s="2" t="s">
        <v>1432</v>
      </c>
    </row>
    <row r="5" spans="1:6" ht="27.75">
      <c r="A5" s="2" t="s">
        <v>224</v>
      </c>
      <c r="B5" s="2" t="s">
        <v>1437</v>
      </c>
      <c r="C5" s="2" t="s">
        <v>1438</v>
      </c>
      <c r="D5" s="2" t="s">
        <v>1439</v>
      </c>
      <c r="E5" s="2" t="s">
        <v>1440</v>
      </c>
      <c r="F5" s="2" t="s">
        <v>1432</v>
      </c>
    </row>
    <row r="6" spans="1:6" ht="27.75">
      <c r="A6" s="2" t="s">
        <v>260</v>
      </c>
      <c r="B6" s="2" t="s">
        <v>1441</v>
      </c>
      <c r="C6" s="2" t="s">
        <v>1442</v>
      </c>
      <c r="D6" s="2" t="s">
        <v>1443</v>
      </c>
      <c r="E6" s="2" t="s">
        <v>1444</v>
      </c>
      <c r="F6" s="2" t="s">
        <v>1432</v>
      </c>
    </row>
    <row r="7" spans="1:6" ht="27.75">
      <c r="A7" s="2" t="s">
        <v>294</v>
      </c>
      <c r="B7" s="2" t="s">
        <v>1445</v>
      </c>
      <c r="C7" s="2" t="s">
        <v>1446</v>
      </c>
      <c r="D7" s="2" t="s">
        <v>1447</v>
      </c>
      <c r="E7" s="2" t="s">
        <v>1448</v>
      </c>
      <c r="F7" s="2" t="s">
        <v>1432</v>
      </c>
    </row>
    <row r="8" spans="1:6" ht="27.75">
      <c r="A8" s="2" t="s">
        <v>327</v>
      </c>
      <c r="B8" s="2" t="s">
        <v>1449</v>
      </c>
      <c r="C8" s="2" t="s">
        <v>1450</v>
      </c>
      <c r="D8" s="2" t="s">
        <v>1451</v>
      </c>
      <c r="E8" s="2" t="s">
        <v>1452</v>
      </c>
      <c r="F8" s="2" t="s">
        <v>1432</v>
      </c>
    </row>
    <row r="9" spans="1:6" ht="27.75">
      <c r="A9" s="2" t="s">
        <v>359</v>
      </c>
      <c r="B9" s="2" t="s">
        <v>1453</v>
      </c>
      <c r="C9" s="2" t="s">
        <v>1454</v>
      </c>
      <c r="D9" s="2" t="s">
        <v>1455</v>
      </c>
      <c r="E9" s="2" t="s">
        <v>1456</v>
      </c>
      <c r="F9" s="2" t="s">
        <v>1432</v>
      </c>
    </row>
    <row r="10" spans="1:6" ht="27.75">
      <c r="A10" s="2" t="s">
        <v>398</v>
      </c>
      <c r="B10" s="2" t="s">
        <v>1457</v>
      </c>
      <c r="C10" s="2" t="s">
        <v>1458</v>
      </c>
      <c r="D10" s="2" t="s">
        <v>1459</v>
      </c>
      <c r="E10" s="2" t="s">
        <v>1460</v>
      </c>
      <c r="F10" s="2" t="s">
        <v>1432</v>
      </c>
    </row>
    <row r="11" spans="1:6" ht="27.75">
      <c r="A11" s="2" t="s">
        <v>1461</v>
      </c>
      <c r="B11" s="2" t="s">
        <v>1462</v>
      </c>
      <c r="C11" s="2" t="s">
        <v>1463</v>
      </c>
      <c r="D11" s="2" t="s">
        <v>1464</v>
      </c>
      <c r="E11" s="2" t="s">
        <v>1465</v>
      </c>
      <c r="F11" s="2" t="s">
        <v>1432</v>
      </c>
    </row>
    <row r="12" spans="1:6" ht="27.75">
      <c r="A12" s="2" t="s">
        <v>1466</v>
      </c>
      <c r="B12" s="2" t="s">
        <v>1467</v>
      </c>
      <c r="C12" s="2" t="s">
        <v>1468</v>
      </c>
      <c r="D12" s="2" t="s">
        <v>1469</v>
      </c>
      <c r="E12" s="2" t="s">
        <v>1470</v>
      </c>
      <c r="F12" s="2" t="s">
        <v>1471</v>
      </c>
    </row>
    <row r="13" spans="1:6" ht="27.75">
      <c r="A13" s="2" t="s">
        <v>1472</v>
      </c>
      <c r="B13" s="2" t="s">
        <v>1473</v>
      </c>
      <c r="C13" s="2" t="s">
        <v>1474</v>
      </c>
      <c r="D13" s="2" t="s">
        <v>1475</v>
      </c>
      <c r="E13" s="2" t="s">
        <v>1476</v>
      </c>
      <c r="F13" s="2" t="s">
        <v>1432</v>
      </c>
    </row>
    <row r="14" spans="1:6" ht="27.75">
      <c r="A14" s="2" t="s">
        <v>484</v>
      </c>
      <c r="B14" s="2" t="s">
        <v>1477</v>
      </c>
      <c r="C14" s="2" t="s">
        <v>1429</v>
      </c>
      <c r="D14" s="2" t="s">
        <v>1478</v>
      </c>
      <c r="E14" s="2" t="s">
        <v>1479</v>
      </c>
      <c r="F14" s="2" t="s">
        <v>1432</v>
      </c>
    </row>
    <row r="15" spans="1:6" ht="27.75">
      <c r="A15" s="2" t="s">
        <v>503</v>
      </c>
      <c r="B15" s="2" t="s">
        <v>1480</v>
      </c>
      <c r="C15" s="2" t="s">
        <v>1481</v>
      </c>
      <c r="D15" s="2" t="s">
        <v>1482</v>
      </c>
      <c r="E15" s="2" t="s">
        <v>1483</v>
      </c>
      <c r="F15" s="2" t="s">
        <v>1432</v>
      </c>
    </row>
    <row r="16" spans="1:6" ht="27.75">
      <c r="A16" s="2" t="s">
        <v>1484</v>
      </c>
      <c r="B16" s="2" t="s">
        <v>1485</v>
      </c>
      <c r="C16" s="2" t="s">
        <v>1481</v>
      </c>
      <c r="D16" s="2" t="s">
        <v>1486</v>
      </c>
      <c r="E16" s="2" t="s">
        <v>1487</v>
      </c>
      <c r="F16" s="2" t="s">
        <v>1432</v>
      </c>
    </row>
    <row r="17" spans="1:6" ht="27.75">
      <c r="A17" s="2" t="s">
        <v>1488</v>
      </c>
      <c r="B17" s="2" t="s">
        <v>1489</v>
      </c>
      <c r="C17" s="2" t="s">
        <v>1490</v>
      </c>
      <c r="D17" s="2" t="s">
        <v>1491</v>
      </c>
      <c r="E17" s="2" t="s">
        <v>1492</v>
      </c>
      <c r="F17" s="2" t="s">
        <v>1432</v>
      </c>
    </row>
    <row r="18" spans="1:6" ht="27.75">
      <c r="A18" s="2" t="s">
        <v>521</v>
      </c>
      <c r="B18" s="2" t="s">
        <v>1493</v>
      </c>
      <c r="C18" s="2" t="s">
        <v>1429</v>
      </c>
      <c r="D18" s="2" t="s">
        <v>1494</v>
      </c>
      <c r="E18" s="2" t="s">
        <v>1495</v>
      </c>
      <c r="F18" s="2" t="s">
        <v>1432</v>
      </c>
    </row>
    <row r="19" spans="1:6" ht="27.75">
      <c r="A19" s="2" t="s">
        <v>1496</v>
      </c>
      <c r="B19" s="2" t="s">
        <v>1497</v>
      </c>
      <c r="C19" s="2" t="s">
        <v>1498</v>
      </c>
      <c r="D19" s="2" t="s">
        <v>1499</v>
      </c>
      <c r="E19" s="2" t="s">
        <v>1500</v>
      </c>
      <c r="F19" s="2" t="s">
        <v>1432</v>
      </c>
    </row>
    <row r="20" spans="1:6" ht="41.65">
      <c r="A20" s="2" t="s">
        <v>543</v>
      </c>
      <c r="B20" s="2" t="s">
        <v>1501</v>
      </c>
      <c r="C20" s="2" t="s">
        <v>1502</v>
      </c>
      <c r="D20" s="2" t="s">
        <v>1503</v>
      </c>
      <c r="E20" s="2" t="s">
        <v>1504</v>
      </c>
      <c r="F20" s="2" t="s">
        <v>1505</v>
      </c>
    </row>
    <row r="21" spans="1:6" ht="41.65">
      <c r="A21" s="2" t="s">
        <v>1506</v>
      </c>
      <c r="B21" s="2" t="s">
        <v>1507</v>
      </c>
      <c r="C21" s="2" t="s">
        <v>1508</v>
      </c>
      <c r="D21" s="2" t="s">
        <v>1509</v>
      </c>
      <c r="E21" s="2" t="s">
        <v>1510</v>
      </c>
      <c r="F21" s="2" t="s">
        <v>1505</v>
      </c>
    </row>
    <row r="22" spans="1:6" ht="41.65">
      <c r="A22" s="2" t="s">
        <v>1511</v>
      </c>
      <c r="B22" s="2" t="s">
        <v>1512</v>
      </c>
      <c r="C22" s="2" t="s">
        <v>1513</v>
      </c>
      <c r="D22" s="2" t="s">
        <v>1514</v>
      </c>
      <c r="E22" s="2" t="s">
        <v>1515</v>
      </c>
      <c r="F22" s="2" t="s">
        <v>1505</v>
      </c>
    </row>
    <row r="23" spans="1:6" ht="27.75">
      <c r="A23" s="2" t="s">
        <v>1516</v>
      </c>
      <c r="B23" s="2" t="s">
        <v>1517</v>
      </c>
      <c r="C23" s="2" t="s">
        <v>1518</v>
      </c>
      <c r="D23" s="2" t="s">
        <v>1519</v>
      </c>
      <c r="E23" s="2" t="s">
        <v>1520</v>
      </c>
      <c r="F23" s="2" t="s">
        <v>1505</v>
      </c>
    </row>
    <row r="24" spans="1:6" ht="27.75">
      <c r="A24" s="2" t="s">
        <v>1521</v>
      </c>
      <c r="B24" s="2" t="s">
        <v>1522</v>
      </c>
      <c r="C24" s="2" t="s">
        <v>1523</v>
      </c>
      <c r="D24" s="2" t="s">
        <v>1524</v>
      </c>
      <c r="E24" s="2" t="s">
        <v>1525</v>
      </c>
      <c r="F24" s="2" t="s">
        <v>1526</v>
      </c>
    </row>
    <row r="25" spans="1:6" ht="27.75">
      <c r="A25" s="2" t="s">
        <v>1527</v>
      </c>
      <c r="B25" s="2" t="s">
        <v>1528</v>
      </c>
      <c r="C25" s="2" t="s">
        <v>1523</v>
      </c>
      <c r="D25" s="2" t="s">
        <v>1529</v>
      </c>
      <c r="E25" s="2" t="s">
        <v>1530</v>
      </c>
      <c r="F25" s="2" t="s">
        <v>1526</v>
      </c>
    </row>
    <row r="26" spans="1:6" ht="27.75">
      <c r="A26" s="2" t="s">
        <v>1531</v>
      </c>
      <c r="B26" s="2" t="s">
        <v>1532</v>
      </c>
      <c r="C26" s="2" t="s">
        <v>1523</v>
      </c>
      <c r="D26" s="2" t="s">
        <v>1533</v>
      </c>
      <c r="E26" s="2" t="s">
        <v>1534</v>
      </c>
      <c r="F26" s="2" t="s">
        <v>1526</v>
      </c>
    </row>
    <row r="27" spans="1:6" ht="27.75">
      <c r="A27" s="2" t="s">
        <v>1535</v>
      </c>
      <c r="B27" s="2" t="s">
        <v>1536</v>
      </c>
      <c r="C27" s="2" t="s">
        <v>1537</v>
      </c>
      <c r="D27" s="2" t="s">
        <v>1538</v>
      </c>
      <c r="E27" s="2" t="s">
        <v>1539</v>
      </c>
      <c r="F27" s="2" t="s">
        <v>1526</v>
      </c>
    </row>
    <row r="28" spans="1:6" ht="27.75">
      <c r="A28" s="2" t="s">
        <v>1540</v>
      </c>
      <c r="B28" s="2" t="s">
        <v>1541</v>
      </c>
      <c r="C28" s="2" t="s">
        <v>1542</v>
      </c>
      <c r="D28" s="2" t="s">
        <v>1543</v>
      </c>
      <c r="E28" s="2" t="s">
        <v>1544</v>
      </c>
      <c r="F28" s="2" t="s">
        <v>1526</v>
      </c>
    </row>
    <row r="29" spans="1:6" ht="27.75">
      <c r="A29" s="2" t="s">
        <v>671</v>
      </c>
      <c r="B29" s="2" t="s">
        <v>1545</v>
      </c>
      <c r="C29" s="2" t="s">
        <v>1542</v>
      </c>
      <c r="D29" s="2" t="s">
        <v>1546</v>
      </c>
      <c r="E29" s="2" t="s">
        <v>1547</v>
      </c>
      <c r="F29" s="2" t="s">
        <v>1526</v>
      </c>
    </row>
    <row r="30" spans="1:6" ht="27.75">
      <c r="A30" s="2" t="s">
        <v>637</v>
      </c>
      <c r="B30" s="2" t="s">
        <v>1548</v>
      </c>
      <c r="C30" s="2" t="s">
        <v>1542</v>
      </c>
      <c r="D30" s="2" t="s">
        <v>1549</v>
      </c>
      <c r="E30" s="2" t="s">
        <v>1550</v>
      </c>
      <c r="F30" s="2" t="s">
        <v>1526</v>
      </c>
    </row>
    <row r="31" spans="1:6" ht="27.75">
      <c r="A31" s="2" t="s">
        <v>1551</v>
      </c>
      <c r="B31" s="2" t="s">
        <v>1552</v>
      </c>
      <c r="C31" s="2" t="s">
        <v>1542</v>
      </c>
      <c r="D31" s="2" t="s">
        <v>1553</v>
      </c>
      <c r="E31" s="2" t="s">
        <v>1554</v>
      </c>
      <c r="F31" s="2" t="s">
        <v>1526</v>
      </c>
    </row>
    <row r="32" spans="1:6" ht="27.75">
      <c r="A32" s="2" t="s">
        <v>796</v>
      </c>
      <c r="B32" s="2" t="s">
        <v>1555</v>
      </c>
      <c r="C32" s="2" t="s">
        <v>1542</v>
      </c>
      <c r="D32" s="2" t="s">
        <v>1556</v>
      </c>
      <c r="E32" s="2" t="s">
        <v>1557</v>
      </c>
      <c r="F32" s="2" t="s">
        <v>1526</v>
      </c>
    </row>
    <row r="33" spans="1:6" ht="27.75">
      <c r="A33" s="2" t="s">
        <v>1558</v>
      </c>
      <c r="B33" s="2" t="s">
        <v>1559</v>
      </c>
      <c r="C33" s="2" t="s">
        <v>1542</v>
      </c>
      <c r="D33" s="2" t="s">
        <v>1560</v>
      </c>
      <c r="E33" s="2" t="s">
        <v>1561</v>
      </c>
      <c r="F33" s="2" t="s">
        <v>1526</v>
      </c>
    </row>
    <row r="34" spans="1:6" ht="27.75">
      <c r="A34" s="2" t="s">
        <v>1562</v>
      </c>
      <c r="B34" s="2" t="s">
        <v>1563</v>
      </c>
      <c r="C34" s="2" t="s">
        <v>1542</v>
      </c>
      <c r="D34" s="2" t="s">
        <v>1564</v>
      </c>
      <c r="E34" s="2" t="s">
        <v>1565</v>
      </c>
      <c r="F34" s="2" t="s">
        <v>1526</v>
      </c>
    </row>
    <row r="35" spans="1:6" ht="27.75">
      <c r="A35" s="2" t="s">
        <v>1566</v>
      </c>
      <c r="B35" s="2" t="s">
        <v>1567</v>
      </c>
      <c r="C35" s="2" t="s">
        <v>1542</v>
      </c>
      <c r="D35" s="2" t="s">
        <v>1568</v>
      </c>
      <c r="E35" s="2" t="s">
        <v>1569</v>
      </c>
      <c r="F35" s="2" t="s">
        <v>1526</v>
      </c>
    </row>
    <row r="36" spans="1:6" ht="27.75">
      <c r="A36" s="2" t="s">
        <v>789</v>
      </c>
      <c r="B36" s="2" t="s">
        <v>1570</v>
      </c>
      <c r="C36" s="2" t="s">
        <v>1542</v>
      </c>
      <c r="D36" s="2" t="s">
        <v>1571</v>
      </c>
      <c r="E36" s="2" t="s">
        <v>1572</v>
      </c>
      <c r="F36" s="2" t="s">
        <v>1526</v>
      </c>
    </row>
    <row r="37" spans="1:6" ht="27.75">
      <c r="A37" s="2" t="s">
        <v>1573</v>
      </c>
      <c r="B37" s="2" t="s">
        <v>1574</v>
      </c>
      <c r="C37" s="2" t="s">
        <v>1575</v>
      </c>
      <c r="D37" s="2" t="s">
        <v>1576</v>
      </c>
      <c r="E37" s="2" t="s">
        <v>1577</v>
      </c>
      <c r="F37" s="2" t="s">
        <v>1526</v>
      </c>
    </row>
    <row r="38" spans="1:6" ht="27.75">
      <c r="A38" s="2" t="s">
        <v>1578</v>
      </c>
      <c r="B38" s="2" t="s">
        <v>1579</v>
      </c>
      <c r="C38" s="2" t="s">
        <v>1542</v>
      </c>
      <c r="D38" s="2" t="s">
        <v>1580</v>
      </c>
      <c r="E38" s="2" t="s">
        <v>1581</v>
      </c>
      <c r="F38" s="2" t="s">
        <v>1526</v>
      </c>
    </row>
    <row r="39" spans="1:6" ht="27.75">
      <c r="A39" s="2" t="s">
        <v>1582</v>
      </c>
      <c r="B39" s="2" t="s">
        <v>1583</v>
      </c>
      <c r="C39" s="2" t="s">
        <v>1584</v>
      </c>
      <c r="D39" s="2" t="s">
        <v>1585</v>
      </c>
      <c r="E39" s="2" t="s">
        <v>1586</v>
      </c>
      <c r="F39" s="2" t="s">
        <v>1526</v>
      </c>
    </row>
    <row r="40" spans="1:6" ht="27.75">
      <c r="A40" s="2" t="s">
        <v>1587</v>
      </c>
      <c r="B40" s="2" t="s">
        <v>1588</v>
      </c>
      <c r="C40" s="2" t="s">
        <v>1584</v>
      </c>
      <c r="D40" s="2" t="s">
        <v>1589</v>
      </c>
      <c r="E40" s="2" t="s">
        <v>1590</v>
      </c>
      <c r="F40" s="2" t="s">
        <v>1526</v>
      </c>
    </row>
    <row r="41" spans="1:6" ht="27.75">
      <c r="A41" s="2" t="s">
        <v>1591</v>
      </c>
      <c r="B41" s="2" t="s">
        <v>1592</v>
      </c>
      <c r="C41" s="2" t="s">
        <v>1542</v>
      </c>
      <c r="D41" s="2" t="s">
        <v>1593</v>
      </c>
      <c r="E41" s="2" t="s">
        <v>1594</v>
      </c>
      <c r="F41" s="2" t="s">
        <v>1526</v>
      </c>
    </row>
    <row r="42" spans="1:6" ht="27.75">
      <c r="A42" s="2" t="s">
        <v>1595</v>
      </c>
      <c r="B42" s="2" t="s">
        <v>1596</v>
      </c>
      <c r="C42" s="2" t="s">
        <v>1584</v>
      </c>
      <c r="D42" s="2" t="s">
        <v>1597</v>
      </c>
      <c r="E42" s="2" t="s">
        <v>1598</v>
      </c>
      <c r="F42" s="2" t="s">
        <v>1526</v>
      </c>
    </row>
    <row r="43" spans="1:6" ht="27.75">
      <c r="A43" s="2" t="s">
        <v>819</v>
      </c>
      <c r="B43" s="2" t="s">
        <v>1599</v>
      </c>
      <c r="C43" s="2" t="s">
        <v>1600</v>
      </c>
      <c r="D43" s="2" t="s">
        <v>1601</v>
      </c>
      <c r="E43" s="2" t="s">
        <v>1602</v>
      </c>
      <c r="F43" s="2" t="s">
        <v>1526</v>
      </c>
    </row>
    <row r="44" spans="1:6" ht="27.75">
      <c r="A44" s="2" t="s">
        <v>783</v>
      </c>
      <c r="B44" s="2" t="s">
        <v>1603</v>
      </c>
      <c r="C44" s="2" t="s">
        <v>1604</v>
      </c>
      <c r="D44" s="2" t="s">
        <v>1605</v>
      </c>
      <c r="E44" s="2" t="s">
        <v>1606</v>
      </c>
      <c r="F44" s="2" t="s">
        <v>1526</v>
      </c>
    </row>
    <row r="45" spans="1:6" ht="27.75">
      <c r="A45" s="2" t="s">
        <v>1607</v>
      </c>
      <c r="B45" s="2" t="s">
        <v>1608</v>
      </c>
      <c r="C45" s="2" t="s">
        <v>1609</v>
      </c>
      <c r="D45" s="2" t="s">
        <v>1610</v>
      </c>
      <c r="E45" s="2" t="s">
        <v>1611</v>
      </c>
      <c r="F45" s="2" t="s">
        <v>1526</v>
      </c>
    </row>
    <row r="46" spans="1:6" ht="27.75">
      <c r="A46" s="2" t="s">
        <v>1612</v>
      </c>
      <c r="B46" s="2" t="s">
        <v>1613</v>
      </c>
      <c r="C46" s="2" t="s">
        <v>1609</v>
      </c>
      <c r="D46" s="2" t="s">
        <v>1614</v>
      </c>
      <c r="E46" s="2" t="s">
        <v>1615</v>
      </c>
      <c r="F46" s="2" t="s">
        <v>1526</v>
      </c>
    </row>
    <row r="47" spans="1:6" ht="13.9">
      <c r="A47" s="2" t="s">
        <v>1616</v>
      </c>
      <c r="B47" s="2" t="s">
        <v>1617</v>
      </c>
      <c r="C47" s="2" t="s">
        <v>1618</v>
      </c>
      <c r="D47" s="2" t="s">
        <v>1618</v>
      </c>
      <c r="E47" s="2" t="s">
        <v>1619</v>
      </c>
      <c r="F47" s="2" t="s">
        <v>1620</v>
      </c>
    </row>
    <row r="48" spans="1:6" ht="13.9">
      <c r="A48" s="2" t="s">
        <v>1621</v>
      </c>
      <c r="B48" s="2" t="s">
        <v>1622</v>
      </c>
      <c r="C48" s="2" t="s">
        <v>1618</v>
      </c>
      <c r="D48" s="2" t="s">
        <v>1618</v>
      </c>
      <c r="E48" s="2" t="s">
        <v>1623</v>
      </c>
      <c r="F48" s="2" t="s">
        <v>1620</v>
      </c>
    </row>
    <row r="49" spans="1:6" ht="27.75">
      <c r="A49" s="2" t="s">
        <v>1624</v>
      </c>
      <c r="B49" s="2" t="s">
        <v>1625</v>
      </c>
      <c r="C49" s="2" t="s">
        <v>1626</v>
      </c>
      <c r="D49" s="2" t="s">
        <v>1627</v>
      </c>
      <c r="E49" s="2" t="s">
        <v>1628</v>
      </c>
      <c r="F49" s="2" t="s">
        <v>1526</v>
      </c>
    </row>
    <row r="50" spans="1:6" ht="27.75">
      <c r="A50" s="2" t="s">
        <v>1629</v>
      </c>
      <c r="B50" s="2" t="s">
        <v>1630</v>
      </c>
      <c r="C50" s="2" t="s">
        <v>1631</v>
      </c>
      <c r="D50" s="2" t="s">
        <v>1632</v>
      </c>
      <c r="E50" s="2" t="s">
        <v>1633</v>
      </c>
      <c r="F50" s="2" t="s">
        <v>1634</v>
      </c>
    </row>
    <row r="51" spans="1:6" ht="41.65">
      <c r="A51" s="2" t="s">
        <v>1635</v>
      </c>
      <c r="B51" s="2" t="s">
        <v>1636</v>
      </c>
      <c r="C51" s="2" t="s">
        <v>1637</v>
      </c>
      <c r="D51" s="2" t="s">
        <v>1638</v>
      </c>
      <c r="E51" s="2" t="s">
        <v>1639</v>
      </c>
      <c r="F51" s="2" t="s">
        <v>1634</v>
      </c>
    </row>
    <row r="52" spans="1:6" ht="27.75">
      <c r="A52" s="2" t="s">
        <v>973</v>
      </c>
      <c r="B52" s="2" t="s">
        <v>1640</v>
      </c>
      <c r="C52" s="2" t="s">
        <v>1641</v>
      </c>
      <c r="D52" s="2" t="s">
        <v>1642</v>
      </c>
      <c r="E52" s="2" t="s">
        <v>1643</v>
      </c>
      <c r="F52" s="2" t="s">
        <v>1634</v>
      </c>
    </row>
    <row r="53" spans="1:6" ht="55.5">
      <c r="A53" s="2" t="s">
        <v>1644</v>
      </c>
      <c r="B53" s="2" t="s">
        <v>1645</v>
      </c>
      <c r="C53" s="2" t="s">
        <v>1646</v>
      </c>
      <c r="D53" s="2" t="s">
        <v>1647</v>
      </c>
      <c r="E53" s="2" t="s">
        <v>1648</v>
      </c>
      <c r="F53" s="2" t="s">
        <v>1634</v>
      </c>
    </row>
    <row r="54" spans="1:6" ht="55.5">
      <c r="A54" s="2" t="s">
        <v>990</v>
      </c>
      <c r="B54" s="2" t="s">
        <v>1649</v>
      </c>
      <c r="C54" s="2" t="s">
        <v>1650</v>
      </c>
      <c r="D54" s="2" t="s">
        <v>1651</v>
      </c>
      <c r="E54" s="2" t="s">
        <v>1652</v>
      </c>
      <c r="F54" s="2" t="s">
        <v>1634</v>
      </c>
    </row>
    <row r="55" spans="1:6" ht="27.75">
      <c r="A55" s="2" t="s">
        <v>1653</v>
      </c>
      <c r="B55" s="2" t="s">
        <v>1654</v>
      </c>
      <c r="C55" s="2" t="s">
        <v>1655</v>
      </c>
      <c r="D55" s="2" t="s">
        <v>1656</v>
      </c>
      <c r="E55" s="2" t="s">
        <v>1657</v>
      </c>
      <c r="F55" s="2" t="s">
        <v>1634</v>
      </c>
    </row>
    <row r="56" spans="1:6" ht="27.75">
      <c r="A56" s="2" t="s">
        <v>1658</v>
      </c>
      <c r="B56" s="2" t="s">
        <v>1659</v>
      </c>
      <c r="C56" s="2" t="s">
        <v>1660</v>
      </c>
      <c r="D56" s="2" t="s">
        <v>1661</v>
      </c>
      <c r="E56" s="2" t="s">
        <v>1662</v>
      </c>
      <c r="F56" s="2" t="s">
        <v>1634</v>
      </c>
    </row>
    <row r="57" spans="1:6" ht="27.75">
      <c r="A57" s="2" t="s">
        <v>1663</v>
      </c>
      <c r="B57" s="2" t="s">
        <v>1664</v>
      </c>
      <c r="C57" s="2" t="s">
        <v>1665</v>
      </c>
      <c r="D57" s="2" t="s">
        <v>1666</v>
      </c>
      <c r="E57" s="2" t="s">
        <v>1667</v>
      </c>
      <c r="F57" s="2" t="s">
        <v>1634</v>
      </c>
    </row>
    <row r="58" spans="1:6" ht="41.65">
      <c r="A58" s="2" t="s">
        <v>1016</v>
      </c>
      <c r="B58" s="2" t="s">
        <v>1668</v>
      </c>
      <c r="C58" s="2" t="s">
        <v>1669</v>
      </c>
      <c r="D58" s="2" t="s">
        <v>1670</v>
      </c>
      <c r="E58" s="2" t="s">
        <v>1671</v>
      </c>
      <c r="F58" s="2" t="s">
        <v>1634</v>
      </c>
    </row>
    <row r="59" spans="1:6" ht="27.75">
      <c r="A59" s="2" t="s">
        <v>1672</v>
      </c>
      <c r="B59" s="2" t="s">
        <v>1673</v>
      </c>
      <c r="C59" s="2" t="s">
        <v>1674</v>
      </c>
      <c r="D59" s="2" t="s">
        <v>1675</v>
      </c>
      <c r="E59" s="2" t="s">
        <v>1676</v>
      </c>
      <c r="F59" s="2" t="s">
        <v>1634</v>
      </c>
    </row>
    <row r="60" spans="1:6" ht="13.9">
      <c r="A60" s="2" t="s">
        <v>1677</v>
      </c>
      <c r="B60" s="2" t="s">
        <v>1678</v>
      </c>
      <c r="C60" s="2" t="s">
        <v>1679</v>
      </c>
      <c r="D60" s="2" t="s">
        <v>1680</v>
      </c>
      <c r="E60" s="2" t="s">
        <v>1681</v>
      </c>
      <c r="F60" s="2" t="s">
        <v>1634</v>
      </c>
    </row>
    <row r="61" spans="1:6" ht="13.9">
      <c r="A61" s="2" t="s">
        <v>1682</v>
      </c>
      <c r="B61" s="2" t="s">
        <v>1683</v>
      </c>
      <c r="C61" s="2" t="s">
        <v>1684</v>
      </c>
      <c r="D61" s="2" t="s">
        <v>1685</v>
      </c>
      <c r="E61" s="2" t="s">
        <v>1686</v>
      </c>
      <c r="F61" s="2" t="s">
        <v>1634</v>
      </c>
    </row>
    <row r="62" spans="1:6" ht="13.9">
      <c r="A62" s="2" t="s">
        <v>926</v>
      </c>
      <c r="B62" s="2" t="s">
        <v>1687</v>
      </c>
      <c r="C62" s="2" t="s">
        <v>1679</v>
      </c>
      <c r="D62" s="2" t="s">
        <v>1688</v>
      </c>
      <c r="E62" s="2" t="s">
        <v>1689</v>
      </c>
      <c r="F62" s="2" t="s">
        <v>1634</v>
      </c>
    </row>
    <row r="63" spans="1:6" ht="27.75">
      <c r="A63" s="2" t="s">
        <v>917</v>
      </c>
      <c r="B63" s="2" t="s">
        <v>1690</v>
      </c>
      <c r="C63" s="2" t="s">
        <v>1691</v>
      </c>
      <c r="D63" s="2" t="s">
        <v>1692</v>
      </c>
      <c r="E63" s="2" t="s">
        <v>1693</v>
      </c>
      <c r="F63" s="2" t="s">
        <v>1634</v>
      </c>
    </row>
    <row r="64" spans="1:6" ht="27.75">
      <c r="A64" s="2" t="s">
        <v>1694</v>
      </c>
      <c r="B64" s="2" t="s">
        <v>1695</v>
      </c>
      <c r="C64" s="2" t="s">
        <v>1665</v>
      </c>
      <c r="D64" s="2" t="s">
        <v>1696</v>
      </c>
      <c r="E64" s="2" t="s">
        <v>1697</v>
      </c>
      <c r="F64" s="2" t="s">
        <v>1634</v>
      </c>
    </row>
    <row r="65" spans="1:6" ht="27.75">
      <c r="A65" s="2" t="s">
        <v>1698</v>
      </c>
      <c r="B65" s="2" t="s">
        <v>1699</v>
      </c>
      <c r="C65" s="2" t="s">
        <v>1700</v>
      </c>
      <c r="D65" s="2" t="s">
        <v>1701</v>
      </c>
      <c r="E65" s="2" t="s">
        <v>1702</v>
      </c>
      <c r="F65" s="2" t="s">
        <v>1703</v>
      </c>
    </row>
    <row r="66" spans="1:6" ht="13.9">
      <c r="A66" s="2" t="s">
        <v>1704</v>
      </c>
      <c r="B66" s="2" t="s">
        <v>1705</v>
      </c>
      <c r="C66" s="2" t="s">
        <v>1706</v>
      </c>
      <c r="D66" s="2" t="s">
        <v>1707</v>
      </c>
      <c r="E66" s="2" t="s">
        <v>1708</v>
      </c>
      <c r="F66" s="2" t="s">
        <v>1709</v>
      </c>
    </row>
    <row r="67" spans="1:6" ht="13.9">
      <c r="A67" s="2" t="s">
        <v>1710</v>
      </c>
      <c r="B67" s="2" t="s">
        <v>1711</v>
      </c>
      <c r="C67" s="2" t="s">
        <v>1618</v>
      </c>
      <c r="D67" s="2" t="s">
        <v>1712</v>
      </c>
      <c r="E67" s="2" t="s">
        <v>1713</v>
      </c>
      <c r="F67" s="2" t="s">
        <v>1505</v>
      </c>
    </row>
    <row r="68" spans="1:6" ht="13.9">
      <c r="A68" s="2" t="s">
        <v>1714</v>
      </c>
      <c r="B68" s="2" t="s">
        <v>1715</v>
      </c>
      <c r="C68" s="2" t="s">
        <v>1618</v>
      </c>
      <c r="D68" s="2" t="s">
        <v>1716</v>
      </c>
      <c r="E68" s="2" t="s">
        <v>1717</v>
      </c>
      <c r="F68" s="2" t="s">
        <v>1505</v>
      </c>
    </row>
    <row r="69" spans="1:6" ht="27.75">
      <c r="A69" s="2" t="s">
        <v>1092</v>
      </c>
      <c r="B69" s="2" t="s">
        <v>1718</v>
      </c>
      <c r="C69" s="2" t="s">
        <v>1719</v>
      </c>
      <c r="D69" s="2" t="s">
        <v>1505</v>
      </c>
      <c r="E69" s="2" t="s">
        <v>1720</v>
      </c>
      <c r="F69" s="2" t="s">
        <v>1721</v>
      </c>
    </row>
    <row r="70" spans="1:6" ht="27.75">
      <c r="A70" s="2" t="s">
        <v>1127</v>
      </c>
      <c r="B70" s="2" t="s">
        <v>1722</v>
      </c>
      <c r="C70" s="2" t="s">
        <v>1719</v>
      </c>
      <c r="D70" s="2" t="s">
        <v>1505</v>
      </c>
      <c r="E70" s="2" t="s">
        <v>1723</v>
      </c>
      <c r="F70" s="2" t="s">
        <v>1721</v>
      </c>
    </row>
    <row r="71" spans="1:6" ht="27.75">
      <c r="A71" s="2" t="s">
        <v>1138</v>
      </c>
      <c r="B71" s="2" t="s">
        <v>1724</v>
      </c>
      <c r="C71" s="2" t="s">
        <v>1719</v>
      </c>
      <c r="D71" s="2" t="s">
        <v>1505</v>
      </c>
      <c r="E71" s="2" t="s">
        <v>1725</v>
      </c>
      <c r="F71" s="2" t="s">
        <v>1721</v>
      </c>
    </row>
    <row r="72" spans="1:6" ht="13.9">
      <c r="A72" s="2" t="s">
        <v>1159</v>
      </c>
      <c r="B72" s="2" t="s">
        <v>1726</v>
      </c>
      <c r="C72" s="2" t="s">
        <v>1719</v>
      </c>
      <c r="D72" s="2" t="s">
        <v>1505</v>
      </c>
      <c r="E72" s="2" t="s">
        <v>1727</v>
      </c>
      <c r="F72" s="2" t="s">
        <v>1721</v>
      </c>
    </row>
    <row r="73" spans="1:6" ht="27.75">
      <c r="A73" s="2" t="s">
        <v>1180</v>
      </c>
      <c r="B73" s="2" t="s">
        <v>1728</v>
      </c>
      <c r="C73" s="2" t="s">
        <v>1719</v>
      </c>
      <c r="D73" s="2" t="s">
        <v>1505</v>
      </c>
      <c r="E73" s="2" t="s">
        <v>1729</v>
      </c>
      <c r="F73" s="2" t="s">
        <v>1721</v>
      </c>
    </row>
    <row r="74" spans="1:6" ht="13.9">
      <c r="A74" s="2" t="s">
        <v>1200</v>
      </c>
      <c r="B74" s="2" t="s">
        <v>1730</v>
      </c>
      <c r="C74" s="2" t="s">
        <v>1719</v>
      </c>
      <c r="D74" s="2" t="s">
        <v>1505</v>
      </c>
      <c r="E74" s="2" t="s">
        <v>1731</v>
      </c>
      <c r="F74" s="2" t="s">
        <v>1732</v>
      </c>
    </row>
    <row r="75" spans="1:6" ht="13.9">
      <c r="A75" s="2" t="s">
        <v>1221</v>
      </c>
      <c r="B75" s="2" t="s">
        <v>1733</v>
      </c>
      <c r="C75" s="2" t="s">
        <v>1719</v>
      </c>
      <c r="D75" s="2" t="s">
        <v>1505</v>
      </c>
      <c r="E75" s="2" t="s">
        <v>1734</v>
      </c>
      <c r="F75" s="2" t="s">
        <v>1735</v>
      </c>
    </row>
    <row r="76" spans="1:6" ht="27.75">
      <c r="A76" s="2" t="s">
        <v>1736</v>
      </c>
      <c r="B76" s="2" t="s">
        <v>1737</v>
      </c>
      <c r="C76" s="2" t="s">
        <v>1738</v>
      </c>
      <c r="D76" s="2" t="s">
        <v>1739</v>
      </c>
      <c r="E76" s="2" t="s">
        <v>1740</v>
      </c>
      <c r="F76" s="2" t="s">
        <v>1741</v>
      </c>
    </row>
    <row r="77" spans="1:6" ht="27.75">
      <c r="A77" s="2" t="s">
        <v>1742</v>
      </c>
      <c r="B77" s="2" t="s">
        <v>1743</v>
      </c>
      <c r="C77" s="2" t="s">
        <v>1744</v>
      </c>
      <c r="D77" s="2" t="s">
        <v>1745</v>
      </c>
      <c r="E77" s="2" t="s">
        <v>1746</v>
      </c>
      <c r="F77" s="2" t="s">
        <v>1741</v>
      </c>
    </row>
    <row r="78" spans="1:6" ht="27.75">
      <c r="A78" s="2" t="s">
        <v>1747</v>
      </c>
      <c r="B78" s="2" t="s">
        <v>1748</v>
      </c>
      <c r="C78" s="2" t="s">
        <v>1749</v>
      </c>
      <c r="D78" s="2" t="s">
        <v>1750</v>
      </c>
      <c r="E78" s="2" t="s">
        <v>1751</v>
      </c>
      <c r="F78" s="2" t="s">
        <v>1752</v>
      </c>
    </row>
    <row r="79" spans="1:6" ht="27.75">
      <c r="A79" s="2" t="s">
        <v>1753</v>
      </c>
      <c r="B79" s="2" t="s">
        <v>1754</v>
      </c>
      <c r="C79" s="2" t="s">
        <v>1755</v>
      </c>
      <c r="D79" s="2" t="s">
        <v>1756</v>
      </c>
      <c r="E79" s="2" t="s">
        <v>1757</v>
      </c>
      <c r="F79" s="2" t="s">
        <v>1758</v>
      </c>
    </row>
    <row r="80" spans="1:6" ht="27.75">
      <c r="A80" s="2" t="s">
        <v>1759</v>
      </c>
      <c r="B80" s="2" t="s">
        <v>1760</v>
      </c>
      <c r="C80" s="2" t="s">
        <v>1755</v>
      </c>
      <c r="D80" s="2" t="s">
        <v>1761</v>
      </c>
      <c r="E80" s="2" t="s">
        <v>1762</v>
      </c>
      <c r="F80" s="2" t="s">
        <v>1758</v>
      </c>
    </row>
    <row r="81" spans="1:6" ht="27.75">
      <c r="A81" s="2" t="s">
        <v>1763</v>
      </c>
      <c r="B81" s="2" t="s">
        <v>1764</v>
      </c>
      <c r="C81" s="2" t="s">
        <v>1765</v>
      </c>
      <c r="D81" s="2" t="s">
        <v>1675</v>
      </c>
      <c r="E81" s="2" t="s">
        <v>1766</v>
      </c>
      <c r="F81" s="2" t="s">
        <v>1767</v>
      </c>
    </row>
    <row r="82" spans="1:6" ht="27.75">
      <c r="A82" s="2" t="s">
        <v>1768</v>
      </c>
      <c r="B82" s="2" t="s">
        <v>1769</v>
      </c>
      <c r="C82" s="2" t="s">
        <v>1770</v>
      </c>
      <c r="D82" s="2" t="s">
        <v>1771</v>
      </c>
      <c r="E82" s="2" t="s">
        <v>1772</v>
      </c>
      <c r="F82" s="2" t="s">
        <v>1773</v>
      </c>
    </row>
    <row r="83" spans="1:6" ht="27.75">
      <c r="A83" s="2" t="s">
        <v>1774</v>
      </c>
      <c r="B83" s="2" t="s">
        <v>1775</v>
      </c>
      <c r="C83" s="2" t="s">
        <v>1776</v>
      </c>
      <c r="D83" s="2" t="s">
        <v>1777</v>
      </c>
      <c r="E83" s="2" t="s">
        <v>1778</v>
      </c>
      <c r="F83" s="2" t="s">
        <v>1741</v>
      </c>
    </row>
    <row r="84" spans="1:6" ht="13.9">
      <c r="A84" s="2" t="s">
        <v>1251</v>
      </c>
      <c r="B84" s="2" t="s">
        <v>1779</v>
      </c>
      <c r="C84" s="2" t="s">
        <v>1780</v>
      </c>
      <c r="D84" s="2" t="s">
        <v>1781</v>
      </c>
      <c r="E84" s="2" t="s">
        <v>1782</v>
      </c>
      <c r="F84" s="2" t="s">
        <v>1783</v>
      </c>
    </row>
    <row r="85" spans="1:6" ht="27.75">
      <c r="A85" s="2" t="s">
        <v>1784</v>
      </c>
      <c r="B85" s="2" t="s">
        <v>1785</v>
      </c>
      <c r="C85" s="2" t="s">
        <v>1780</v>
      </c>
      <c r="D85" s="2" t="s">
        <v>1786</v>
      </c>
      <c r="E85" s="2" t="s">
        <v>1787</v>
      </c>
      <c r="F85" s="2" t="s">
        <v>1783</v>
      </c>
    </row>
    <row r="86" spans="1:6" ht="27.75">
      <c r="A86" s="2" t="s">
        <v>1268</v>
      </c>
      <c r="B86" s="2" t="s">
        <v>1788</v>
      </c>
      <c r="C86" s="2" t="s">
        <v>1789</v>
      </c>
      <c r="D86" s="2" t="s">
        <v>1790</v>
      </c>
      <c r="E86" s="2" t="s">
        <v>1791</v>
      </c>
      <c r="F86" s="2" t="s">
        <v>1792</v>
      </c>
    </row>
    <row r="87" spans="1:6" ht="69.400000000000006">
      <c r="A87" s="2" t="s">
        <v>1793</v>
      </c>
      <c r="B87" s="2" t="s">
        <v>1794</v>
      </c>
      <c r="C87" s="2" t="s">
        <v>1789</v>
      </c>
      <c r="D87" s="2" t="s">
        <v>1795</v>
      </c>
      <c r="E87" s="2" t="s">
        <v>1796</v>
      </c>
      <c r="F87" s="2" t="s">
        <v>1783</v>
      </c>
    </row>
    <row r="88" spans="1:6" ht="55.5">
      <c r="A88" s="2" t="s">
        <v>1797</v>
      </c>
      <c r="B88" s="2" t="s">
        <v>1798</v>
      </c>
      <c r="C88" s="2" t="s">
        <v>1789</v>
      </c>
      <c r="D88" s="2" t="s">
        <v>1799</v>
      </c>
      <c r="E88" s="2" t="s">
        <v>1800</v>
      </c>
      <c r="F88" s="2" t="s">
        <v>1783</v>
      </c>
    </row>
    <row r="89" spans="1:6" ht="27.75">
      <c r="A89" s="2" t="s">
        <v>1801</v>
      </c>
      <c r="B89" s="2" t="s">
        <v>1802</v>
      </c>
      <c r="C89" s="2" t="s">
        <v>1803</v>
      </c>
      <c r="D89" s="2" t="s">
        <v>1804</v>
      </c>
      <c r="E89" s="2" t="s">
        <v>1805</v>
      </c>
      <c r="F89" s="2" t="s">
        <v>1806</v>
      </c>
    </row>
    <row r="90" spans="1:6" ht="13.9">
      <c r="A90" s="2" t="s">
        <v>1807</v>
      </c>
      <c r="B90" s="2" t="s">
        <v>1754</v>
      </c>
      <c r="C90" s="2" t="s">
        <v>1808</v>
      </c>
      <c r="D90" s="2" t="s">
        <v>1756</v>
      </c>
      <c r="E90" s="2" t="s">
        <v>1809</v>
      </c>
      <c r="F90" s="2" t="s">
        <v>1806</v>
      </c>
    </row>
    <row r="91" spans="1:6" ht="13.9">
      <c r="A91" s="2" t="s">
        <v>1810</v>
      </c>
      <c r="B91" s="2" t="s">
        <v>1811</v>
      </c>
      <c r="C91" s="2" t="s">
        <v>1789</v>
      </c>
      <c r="D91" s="2" t="s">
        <v>1661</v>
      </c>
      <c r="E91" s="2" t="s">
        <v>1812</v>
      </c>
      <c r="F91" s="2" t="s">
        <v>1792</v>
      </c>
    </row>
    <row r="92" spans="1:6" ht="13.9">
      <c r="A92" s="2" t="s">
        <v>1813</v>
      </c>
      <c r="B92" s="2" t="s">
        <v>1814</v>
      </c>
      <c r="C92" s="2" t="s">
        <v>1789</v>
      </c>
      <c r="D92" s="2" t="s">
        <v>1750</v>
      </c>
      <c r="E92" s="2" t="s">
        <v>1815</v>
      </c>
      <c r="F92" s="2" t="s">
        <v>1792</v>
      </c>
    </row>
    <row r="93" spans="1:6" ht="27.75">
      <c r="A93" s="2" t="s">
        <v>1290</v>
      </c>
      <c r="B93" s="2" t="s">
        <v>1816</v>
      </c>
      <c r="C93" s="2" t="s">
        <v>1719</v>
      </c>
      <c r="D93" s="2" t="s">
        <v>1505</v>
      </c>
      <c r="E93" s="2" t="s">
        <v>1817</v>
      </c>
      <c r="F93" s="2" t="s">
        <v>1818</v>
      </c>
    </row>
    <row r="94" spans="1:6" ht="27.75">
      <c r="A94" s="2" t="s">
        <v>1819</v>
      </c>
      <c r="B94" s="2" t="s">
        <v>1820</v>
      </c>
      <c r="C94" s="2" t="s">
        <v>1719</v>
      </c>
      <c r="D94" s="2" t="s">
        <v>1505</v>
      </c>
      <c r="E94" s="2" t="s">
        <v>1821</v>
      </c>
      <c r="F94" s="2" t="s">
        <v>1818</v>
      </c>
    </row>
    <row r="95" spans="1:6" ht="13.9">
      <c r="A95" s="2" t="s">
        <v>1822</v>
      </c>
      <c r="B95" s="2" t="s">
        <v>1823</v>
      </c>
      <c r="C95" s="2" t="s">
        <v>1719</v>
      </c>
      <c r="D95" s="2" t="s">
        <v>1505</v>
      </c>
      <c r="E95" s="2" t="s">
        <v>1824</v>
      </c>
      <c r="F95" s="2" t="s">
        <v>1818</v>
      </c>
    </row>
    <row r="96" spans="1:6" ht="13.9">
      <c r="A96" s="2" t="s">
        <v>1825</v>
      </c>
      <c r="B96" s="2" t="s">
        <v>1826</v>
      </c>
      <c r="C96" s="2" t="s">
        <v>1719</v>
      </c>
      <c r="D96" s="2" t="s">
        <v>1505</v>
      </c>
      <c r="E96" s="2" t="s">
        <v>1827</v>
      </c>
      <c r="F96" s="2" t="s">
        <v>1818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workbookViewId="0"/>
  </sheetViews>
  <sheetFormatPr defaultRowHeight="13.5"/>
  <cols>
    <col min="1" max="1" width="12" customWidth="1"/>
    <col min="2" max="2" width="28" customWidth="1"/>
    <col min="3" max="3" width="14" customWidth="1"/>
    <col min="4" max="4" width="36" customWidth="1"/>
    <col min="6" max="6" width="14" customWidth="1"/>
    <col min="8" max="8" width="16" customWidth="1"/>
    <col min="10" max="10" width="14" customWidth="1"/>
    <col min="12" max="12" width="14" customWidth="1"/>
    <col min="14" max="14" width="14" customWidth="1"/>
  </cols>
  <sheetData>
    <row r="1" spans="1:14" ht="15.75">
      <c r="A1" s="3" t="s">
        <v>6</v>
      </c>
      <c r="B1" s="3" t="s">
        <v>1828</v>
      </c>
      <c r="C1" s="3" t="s">
        <v>8</v>
      </c>
      <c r="D1" s="3" t="s">
        <v>7</v>
      </c>
      <c r="F1" s="3" t="s">
        <v>110</v>
      </c>
      <c r="H1" s="3" t="s">
        <v>111</v>
      </c>
      <c r="J1" s="3" t="s">
        <v>112</v>
      </c>
      <c r="L1" s="3" t="s">
        <v>59</v>
      </c>
      <c r="N1" s="3" t="s">
        <v>114</v>
      </c>
    </row>
    <row r="2" spans="1:14" ht="13.9">
      <c r="A2" s="2">
        <v>0</v>
      </c>
      <c r="B2" s="2" t="s">
        <v>12</v>
      </c>
      <c r="C2" s="2" t="s">
        <v>13</v>
      </c>
      <c r="D2" s="2"/>
      <c r="F2" s="2" t="s">
        <v>1829</v>
      </c>
      <c r="H2" s="2" t="s">
        <v>1830</v>
      </c>
      <c r="J2" s="2" t="s">
        <v>1831</v>
      </c>
      <c r="L2" s="2" t="s">
        <v>65</v>
      </c>
      <c r="N2" s="2" t="s">
        <v>128</v>
      </c>
    </row>
    <row r="3" spans="1:14" ht="13.9">
      <c r="A3" s="2">
        <v>1</v>
      </c>
      <c r="B3" s="2" t="s">
        <v>17</v>
      </c>
      <c r="C3" s="2" t="s">
        <v>18</v>
      </c>
      <c r="D3" s="2"/>
      <c r="F3" s="2" t="s">
        <v>1832</v>
      </c>
      <c r="H3" s="2" t="s">
        <v>1833</v>
      </c>
      <c r="J3" s="2" t="s">
        <v>1834</v>
      </c>
      <c r="L3" s="2" t="s">
        <v>67</v>
      </c>
      <c r="N3" s="2" t="s">
        <v>1835</v>
      </c>
    </row>
    <row r="4" spans="1:14" ht="27.75">
      <c r="A4" s="2">
        <v>2</v>
      </c>
      <c r="B4" s="2" t="s">
        <v>20</v>
      </c>
      <c r="C4" s="2" t="s">
        <v>21</v>
      </c>
      <c r="D4" s="2"/>
      <c r="F4" s="2" t="s">
        <v>1836</v>
      </c>
      <c r="H4" s="2"/>
      <c r="J4" s="2" t="s">
        <v>1837</v>
      </c>
      <c r="L4" s="2" t="s">
        <v>69</v>
      </c>
      <c r="N4" s="2" t="s">
        <v>89</v>
      </c>
    </row>
    <row r="5" spans="1:14" ht="13.9">
      <c r="A5" s="2">
        <v>3</v>
      </c>
      <c r="B5" s="2" t="s">
        <v>23</v>
      </c>
      <c r="C5" s="2" t="s">
        <v>24</v>
      </c>
      <c r="D5" s="2"/>
      <c r="F5" s="2" t="s">
        <v>1838</v>
      </c>
      <c r="H5" s="2"/>
      <c r="J5" s="2" t="s">
        <v>1839</v>
      </c>
      <c r="L5" s="2" t="s">
        <v>72</v>
      </c>
      <c r="N5" s="2" t="s">
        <v>1840</v>
      </c>
    </row>
    <row r="6" spans="1:14" ht="27.75">
      <c r="A6" s="2">
        <v>4</v>
      </c>
      <c r="B6" s="2" t="s">
        <v>26</v>
      </c>
      <c r="C6" s="2" t="s">
        <v>27</v>
      </c>
      <c r="D6" s="2"/>
      <c r="F6" s="2"/>
      <c r="H6" s="2"/>
      <c r="J6" s="2"/>
      <c r="L6" s="2" t="s">
        <v>73</v>
      </c>
      <c r="N6" s="2" t="s">
        <v>1841</v>
      </c>
    </row>
    <row r="7" spans="1:14" ht="27.75">
      <c r="A7" s="2">
        <v>5</v>
      </c>
      <c r="B7" s="2" t="s">
        <v>29</v>
      </c>
      <c r="C7" s="2" t="s">
        <v>30</v>
      </c>
      <c r="D7" s="2"/>
      <c r="F7" s="2"/>
      <c r="H7" s="2"/>
      <c r="J7" s="2"/>
      <c r="L7" s="2" t="s">
        <v>74</v>
      </c>
      <c r="N7" s="2" t="s">
        <v>1842</v>
      </c>
    </row>
    <row r="8" spans="1:14" ht="13.9">
      <c r="F8" s="2"/>
      <c r="H8" s="2"/>
      <c r="J8" s="2"/>
      <c r="L8" s="2" t="s">
        <v>76</v>
      </c>
      <c r="N8" s="2"/>
    </row>
    <row r="9" spans="1:14" ht="13.9">
      <c r="F9" s="2"/>
      <c r="H9" s="2"/>
      <c r="J9" s="2"/>
      <c r="L9" s="2" t="s">
        <v>78</v>
      </c>
      <c r="N9" s="2"/>
    </row>
    <row r="10" spans="1:14" ht="13.9">
      <c r="F10" s="2"/>
      <c r="H10" s="2"/>
      <c r="J10" s="2"/>
      <c r="L10" s="2" t="s">
        <v>80</v>
      </c>
      <c r="N10" s="2"/>
    </row>
    <row r="11" spans="1:14" ht="13.9">
      <c r="F11" s="2"/>
      <c r="H11" s="2"/>
      <c r="J11" s="2"/>
      <c r="L11" s="2" t="s">
        <v>82</v>
      </c>
      <c r="N11" s="2"/>
    </row>
    <row r="12" spans="1:14" ht="13.9">
      <c r="F12" s="2"/>
      <c r="H12" s="2"/>
      <c r="J12" s="2"/>
      <c r="L12" s="2" t="s">
        <v>84</v>
      </c>
      <c r="N12" s="2"/>
    </row>
    <row r="13" spans="1:14" ht="13.9">
      <c r="F13" s="2"/>
      <c r="H13" s="2"/>
      <c r="J13" s="2"/>
      <c r="L13" s="2" t="s">
        <v>86</v>
      </c>
      <c r="N13" s="2"/>
    </row>
    <row r="14" spans="1:14" ht="13.9">
      <c r="F14" s="2"/>
      <c r="H14" s="2"/>
      <c r="J14" s="2"/>
      <c r="L14" s="2"/>
      <c r="N14" s="2"/>
    </row>
    <row r="15" spans="1:14" ht="13.9">
      <c r="F15" s="2"/>
      <c r="H15" s="2"/>
      <c r="J15" s="2"/>
      <c r="L15" s="2"/>
      <c r="N15" s="2"/>
    </row>
    <row r="16" spans="1:14" ht="13.9">
      <c r="F16" s="2"/>
      <c r="H16" s="2"/>
      <c r="J16" s="2"/>
      <c r="L16" s="2"/>
      <c r="N16" s="2"/>
    </row>
    <row r="17" spans="6:14" ht="13.9">
      <c r="F17" s="2"/>
      <c r="H17" s="2"/>
      <c r="J17" s="2"/>
      <c r="L17" s="2"/>
      <c r="N17" s="2"/>
    </row>
    <row r="18" spans="6:14" ht="13.9">
      <c r="F18" s="2"/>
      <c r="H18" s="2"/>
      <c r="J18" s="2"/>
      <c r="L18" s="2"/>
      <c r="N18" s="2"/>
    </row>
    <row r="19" spans="6:14" ht="13.9">
      <c r="F19" s="2"/>
      <c r="H19" s="2"/>
      <c r="J19" s="2"/>
      <c r="L19" s="2"/>
      <c r="N19" s="2"/>
    </row>
    <row r="20" spans="6:14" ht="13.9">
      <c r="F20" s="2"/>
      <c r="H20" s="2"/>
      <c r="J20" s="2"/>
      <c r="L20" s="2"/>
      <c r="N20" s="2"/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00_使用说明</vt:lpstr>
      <vt:lpstr>01_学习计划看板</vt:lpstr>
      <vt:lpstr>02_能力差距自评</vt:lpstr>
      <vt:lpstr>03_年度学习计划</vt:lpstr>
      <vt:lpstr>04_学习执行跟踪</vt:lpstr>
      <vt:lpstr>05_月度复盘</vt:lpstr>
      <vt:lpstr>06_学习材料索引</vt:lpstr>
      <vt:lpstr>07_填表字典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 yin</cp:lastModifiedBy>
  <dcterms:modified xsi:type="dcterms:W3CDTF">2026-05-11T11:49:06Z</dcterms:modified>
</cp:coreProperties>
</file>